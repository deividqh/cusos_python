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filterPrivacy="1" codeName="ThisWorkbook_CONTROLCLASES" defaultThemeVersion="124226"/>
  <xr:revisionPtr revIDLastSave="0" documentId="13_ncr:1_{7C2B8EBA-6C2B-44B4-896D-13CDEC09CB67}" xr6:coauthVersionLast="47" xr6:coauthVersionMax="47" xr10:uidLastSave="{00000000-0000-0000-0000-000000000000}"/>
  <bookViews>
    <workbookView xWindow="-120" yWindow="-120" windowWidth="21840" windowHeight="13140" firstSheet="1" activeTab="5" xr2:uid="{00000000-000D-0000-FFFF-FFFF00000000}"/>
  </bookViews>
  <sheets>
    <sheet name="Info" sheetId="8" r:id="rId1"/>
    <sheet name="Aux" sheetId="12" r:id="rId2"/>
    <sheet name="JULIO 24" sheetId="13" r:id="rId3"/>
    <sheet name="JUNIO 24" sheetId="14" r:id="rId4"/>
    <sheet name="MAYO 24" sheetId="15" r:id="rId5"/>
    <sheet name="ABRIL 24" sheetId="16" r:id="rId6"/>
    <sheet name="MARZO 24" sheetId="17" r:id="rId7"/>
    <sheet name="FEBRERO 24" sheetId="18" r:id="rId8"/>
    <sheet name="ENERO 24" sheetId="19" r:id="rId9"/>
  </sheets>
  <definedNames>
    <definedName name="_xlnm._FilterDatabase" localSheetId="8" hidden="1">'ENERO 24'!$A$24:$L$111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8" l="1"/>
  <c r="K17" i="18"/>
  <c r="K16" i="18"/>
  <c r="K15" i="18"/>
  <c r="K14" i="18"/>
  <c r="K13" i="18"/>
  <c r="K12" i="18"/>
  <c r="K11" i="18"/>
  <c r="K18" i="19"/>
  <c r="K17" i="19"/>
  <c r="K16" i="19"/>
  <c r="K15" i="19"/>
  <c r="K14" i="19"/>
  <c r="K13" i="19"/>
  <c r="K12" i="19"/>
  <c r="K11" i="19"/>
  <c r="K19" i="19" s="1"/>
  <c r="J9" i="19"/>
  <c r="K19" i="18"/>
  <c r="J9" i="18"/>
  <c r="K18" i="17"/>
  <c r="K17" i="17"/>
  <c r="K16" i="17"/>
  <c r="K15" i="17"/>
  <c r="K14" i="17"/>
  <c r="K13" i="17"/>
  <c r="K12" i="17"/>
  <c r="K11" i="17"/>
  <c r="K19" i="17" s="1"/>
  <c r="J9" i="17"/>
  <c r="K18" i="16"/>
  <c r="K17" i="16"/>
  <c r="K16" i="16"/>
  <c r="K15" i="16"/>
  <c r="K14" i="16"/>
  <c r="K13" i="16"/>
  <c r="K12" i="16"/>
  <c r="K11" i="16"/>
  <c r="K19" i="16" s="1"/>
  <c r="J9" i="16"/>
  <c r="K18" i="15"/>
  <c r="K17" i="15"/>
  <c r="K16" i="15"/>
  <c r="K15" i="15"/>
  <c r="K14" i="15"/>
  <c r="K13" i="15"/>
  <c r="K12" i="15"/>
  <c r="K11" i="15"/>
  <c r="K19" i="15" s="1"/>
  <c r="J9" i="15"/>
  <c r="K18" i="14"/>
  <c r="K17" i="14"/>
  <c r="K16" i="14"/>
  <c r="K15" i="14"/>
  <c r="K14" i="14"/>
  <c r="K13" i="14"/>
  <c r="K12" i="14"/>
  <c r="K11" i="14"/>
  <c r="K19" i="14" s="1"/>
  <c r="J9" i="14"/>
  <c r="K19" i="13"/>
  <c r="K18" i="13"/>
  <c r="K17" i="13"/>
  <c r="K16" i="13"/>
  <c r="K15" i="13"/>
  <c r="K14" i="13"/>
  <c r="K13" i="13"/>
  <c r="K12" i="13"/>
  <c r="K11" i="13"/>
  <c r="J9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Puedes Formatear las celdas para ver  Mejor la hoja ;)   &lt;Formatos Celdas Creadas&gt; , &lt;Fecha&gt; , &lt;Concept&gt;, &lt;Id's&gt;</t>
        </r>
      </text>
    </comment>
    <comment ref="B2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Aquí se tienen que hacer los cambios necesareos siguiendo las pistas de los comentarios que se crean cuando se Pulsa &lt;Load Data&gt;.
Hay que pulsar &lt;Load Data&gt; tantas veces como sea necesareo hasta que "OK-BD" no sea Color Rojo.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J25" authorId="0" shapeId="0" xr:uid="{9AFBD60D-F031-499B-9D5A-36BED82943D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6" authorId="0" shapeId="0" xr:uid="{A609DDD4-9C1A-4380-B2B3-B57F2472D171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27" authorId="0" shapeId="0" xr:uid="{5F3C2522-6749-41F1-AFB7-AFDB885C87E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28" authorId="0" shapeId="0" xr:uid="{0D66D29A-9DED-482F-96B6-71A44816308B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28" authorId="0" shapeId="0" xr:uid="{47290961-77C8-466D-97F9-0317FE624DFB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29" authorId="0" shapeId="0" xr:uid="{86BC750E-28CC-4299-AFB2-D45DC4D31916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:( </t>
        </r>
      </text>
    </comment>
    <comment ref="U30" authorId="0" shapeId="0" xr:uid="{B65B1738-4CA8-4AD7-85DB-786FC8D5B692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53 -&gt; Insert :( </t>
        </r>
      </text>
    </comment>
    <comment ref="U31" authorId="0" shapeId="0" xr:uid="{10A276E4-95B7-4C4F-8DBE-5469379BE89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54 -&gt; Insert :( </t>
        </r>
      </text>
    </comment>
    <comment ref="U32" authorId="0" shapeId="0" xr:uid="{FEA0E0C6-62A1-42F8-ABC5-A5A935C7B39D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55 -&gt; Insert :( </t>
        </r>
      </text>
    </comment>
    <comment ref="U33" authorId="0" shapeId="0" xr:uid="{591F9B21-0307-4645-ABA1-6F96E46F30F4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56 -&gt; Insert :( </t>
        </r>
      </text>
    </comment>
    <comment ref="U34" authorId="0" shapeId="0" xr:uid="{A94FE9D9-FA0E-4BD1-BBBD-314CFD2E1410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93 -&gt; Insert :( </t>
        </r>
      </text>
    </comment>
    <comment ref="J35" authorId="0" shapeId="0" xr:uid="{0A83D3B0-63CA-49AB-93B0-C08068F89EA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6" authorId="0" shapeId="0" xr:uid="{46DC5E12-BF16-4B31-9EE9-EFE62585E6E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8" authorId="0" shapeId="0" xr:uid="{9C2A805C-CD87-4D98-A7FE-F2B1E93B9B4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9" authorId="0" shapeId="0" xr:uid="{7A0A5B8A-AB9C-4ECA-8C28-1930CB21D49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40" authorId="0" shapeId="0" xr:uid="{FFCB59EE-3351-4299-BBF7-A12ACB5D72D4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40" authorId="0" shapeId="0" xr:uid="{2B89E62A-E1A1-4E0A-8D06-74D5A76FE85B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41" authorId="0" shapeId="0" xr:uid="{9DDD50BB-8C06-4299-9EF2-774DBEEEC74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94 -&gt; Insert :( </t>
        </r>
      </text>
    </comment>
    <comment ref="U42" authorId="0" shapeId="0" xr:uid="{D22F05A8-D1D5-48FA-B411-04321B25C322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95 -&gt; Insert :( </t>
        </r>
      </text>
    </comment>
    <comment ref="U43" authorId="0" shapeId="0" xr:uid="{01452879-A43B-429C-B91F-F876ED7A1216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96 -&gt; Insert :( </t>
        </r>
      </text>
    </comment>
    <comment ref="U44" authorId="0" shapeId="0" xr:uid="{4C02CE80-7D70-4C89-B298-744E1362195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119 -&gt; Insert :( </t>
        </r>
      </text>
    </comment>
    <comment ref="J45" authorId="0" shapeId="0" xr:uid="{476D313A-EEC7-4FAA-BF1F-76B2717AD19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6" authorId="0" shapeId="0" xr:uid="{629E4D97-8BEA-4C08-A758-98613C9DF60F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47" authorId="0" shapeId="0" xr:uid="{C6E3D619-BD7A-41A9-8CED-C777A94ABA0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48" authorId="0" shapeId="0" xr:uid="{4C811C4F-97B4-4FBF-8533-AA95CB3BF37B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48" authorId="0" shapeId="0" xr:uid="{955B3337-AC4B-4817-87A7-74D748C30F60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49" authorId="0" shapeId="0" xr:uid="{69F6E82C-CDED-4EE9-AF52-2C5E752F0713}">
      <text>
        <r>
          <rPr>
            <sz val="9"/>
            <color indexed="81"/>
            <rFont val="Tahoma"/>
            <family val="2"/>
          </rPr>
          <t xml:space="preserve">94 -&gt; Insert :) </t>
        </r>
      </text>
    </comment>
    <comment ref="U50" authorId="0" shapeId="0" xr:uid="{07097892-03C4-4FDF-9D63-6CE55BCD4455}">
      <text>
        <r>
          <rPr>
            <sz val="9"/>
            <color indexed="81"/>
            <rFont val="Tahoma"/>
            <family val="2"/>
          </rPr>
          <t xml:space="preserve">95 -&gt; Insert :) </t>
        </r>
      </text>
    </comment>
    <comment ref="U51" authorId="0" shapeId="0" xr:uid="{AB9E8324-31A2-4324-AE42-747A484ADC4C}">
      <text>
        <r>
          <rPr>
            <sz val="9"/>
            <color indexed="81"/>
            <rFont val="Tahoma"/>
            <family val="2"/>
          </rPr>
          <t xml:space="preserve">96 -&gt; Insert :) </t>
        </r>
      </text>
    </comment>
    <comment ref="J52" authorId="0" shapeId="0" xr:uid="{4242265A-DB01-428C-8945-7A68533E9CC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3" authorId="0" shapeId="0" xr:uid="{F2488E5C-91E7-4958-93CA-511D8D8C7CCA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54" authorId="0" shapeId="0" xr:uid="{D81EFB59-5591-495D-B2A1-30E5836D962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5" authorId="0" shapeId="0" xr:uid="{F8848E46-5C55-4404-9B4D-791049ADDA3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6" authorId="0" shapeId="0" xr:uid="{9F5AAB11-7FAC-4140-B234-B6C195B7EE2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7" authorId="0" shapeId="0" xr:uid="{B5988420-969A-4BFF-9DDF-159C7A8B6D41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58" authorId="0" shapeId="0" xr:uid="{A3069D6A-F9E2-40E4-A635-B39A63E5695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59" authorId="0" shapeId="0" xr:uid="{7F3FA859-75C8-468D-A4F2-B85D65198E92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182 -&gt; Insert :( </t>
        </r>
      </text>
    </comment>
    <comment ref="U60" authorId="0" shapeId="0" xr:uid="{098764F2-0DA5-4AA8-89A5-F73E988E231B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11 -&gt; Insert :( </t>
        </r>
      </text>
    </comment>
    <comment ref="J61" authorId="0" shapeId="0" xr:uid="{35D1F833-BEE0-473E-A8A7-DAEEBE89BE82}">
      <text>
        <r>
          <rPr>
            <sz val="9"/>
            <color indexed="81"/>
            <rFont val="Tahoma"/>
            <family val="2"/>
          </rPr>
          <t xml:space="preserve">PARTICULAR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PARTICULAR_x000D_
Num Horas: 1_x000D_
Num Alumns: 0</t>
        </r>
      </text>
    </comment>
    <comment ref="J62" authorId="0" shapeId="0" xr:uid="{EE0A7715-EA80-4FFF-8B7A-ED6B10D7193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3" authorId="0" shapeId="0" xr:uid="{1472AAB9-5168-46BE-B052-E45110DAB7F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4" authorId="0" shapeId="0" xr:uid="{CA44FAAA-D457-42EB-B02D-99B429DF05C3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65" authorId="0" shapeId="0" xr:uid="{839DCC63-9C4E-4E31-85A2-A98BFD27C6A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6" authorId="0" shapeId="0" xr:uid="{BF6062E2-AB67-4064-B048-5D1974516E3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7" authorId="0" shapeId="0" xr:uid="{38B0A8F5-42D5-4B0A-A1E3-4D89C11BEB3E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68" authorId="0" shapeId="0" xr:uid="{F8B59373-12C0-4B09-B903-474906476A8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9" authorId="0" shapeId="0" xr:uid="{372C6212-BB23-49BC-AE42-2CFA4FBC40B2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70" authorId="0" shapeId="0" xr:uid="{747AC495-6A92-4CF0-AFB0-90DA053AD5B6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71" authorId="0" shapeId="0" xr:uid="{B63FA9D8-B0F2-42E4-9EBE-947DA7015A9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2" authorId="0" shapeId="0" xr:uid="{32F1600D-B4A7-43AE-A29A-F424882AA46B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73" authorId="0" shapeId="0" xr:uid="{F12895B8-C9F1-4593-AC92-10AD35DB5E4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4" authorId="0" shapeId="0" xr:uid="{936185AF-D6E7-4624-AB7A-CB38C887DEA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5" authorId="0" shapeId="0" xr:uid="{912F783B-662D-486B-A157-D50708F205A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7" authorId="0" shapeId="0" xr:uid="{4D9B1D8D-EFE7-4F99-9F6E-8C76C658297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8" authorId="0" shapeId="0" xr:uid="{6C21FD88-1509-4362-8DE3-B7E281CDEB0B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79" authorId="0" shapeId="0" xr:uid="{8D121166-09BE-402E-9D01-6BC83971B8A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0" authorId="0" shapeId="0" xr:uid="{43906A86-1189-4F88-843A-57D4A7C9D9A4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3_x000D_
Num Alumns: 0</t>
        </r>
      </text>
    </comment>
    <comment ref="J81" authorId="0" shapeId="0" xr:uid="{00421403-3D42-48DE-AB19-832F87CC3D87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82" authorId="0" shapeId="0" xr:uid="{7356848E-8370-4691-8423-A6E9203B54D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83" authorId="0" shapeId="0" xr:uid="{C257A3C2-BF95-4179-A7E4-BFAD3D6F35BD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116 -&gt; Insert :( </t>
        </r>
      </text>
    </comment>
    <comment ref="U84" authorId="0" shapeId="0" xr:uid="{BF371238-3DC2-4E35-A701-6F138688C53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265 -&gt; Insert :( </t>
        </r>
      </text>
    </comment>
    <comment ref="J85" authorId="0" shapeId="0" xr:uid="{2DAC0D8F-4580-43FD-B133-C8375BDF6454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86" authorId="0" shapeId="0" xr:uid="{507522C4-746E-41EA-A035-2A4F669A5697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87" authorId="0" shapeId="0" xr:uid="{1BDB5E67-88CA-478D-95C9-F987A17D143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8" authorId="0" shapeId="0" xr:uid="{4AD9C65D-1F56-4695-B126-585640616B3F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1_x000D_
Num Alumns: 0</t>
        </r>
      </text>
    </comment>
    <comment ref="J89" authorId="0" shapeId="0" xr:uid="{ABE46B47-9214-43BF-9F3A-874C000C638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0" authorId="0" shapeId="0" xr:uid="{3B357235-D011-486B-9912-A9BBCE56500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1" authorId="0" shapeId="0" xr:uid="{0BC97286-97B8-48F0-AC7C-32EC52B1EC7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2" authorId="0" shapeId="0" xr:uid="{B3983E8C-4D5D-4B4A-9EF6-B3D4EF4381D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3" authorId="0" shapeId="0" xr:uid="{02408B2A-2E34-4A92-A0BC-2DFE534D73DA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3_x000D_
Num Alumns: 3</t>
        </r>
      </text>
    </comment>
    <comment ref="J94" authorId="0" shapeId="0" xr:uid="{51D18C12-2FB5-45A9-AB15-C208F6DCBE4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5" authorId="0" shapeId="0" xr:uid="{BD58DC3D-1D48-4CC0-95ED-D5A67CB5CB84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96" authorId="0" shapeId="0" xr:uid="{87A5572C-C4A7-4C2C-9044-4C8FA3DED194}">
      <text>
        <r>
          <rPr>
            <sz val="9"/>
            <color indexed="81"/>
            <rFont val="Tahoma"/>
            <family val="2"/>
          </rPr>
          <t xml:space="preserve">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TORNEO_x000D_
Num Horas: 1,5_x000D_
Num Alumns: 0</t>
        </r>
      </text>
    </comment>
    <comment ref="J97" authorId="0" shapeId="0" xr:uid="{3E642C4A-A519-4975-BC6D-8F94F2E069C4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3_x000D_
Num Alumns: 3</t>
        </r>
      </text>
    </comment>
    <comment ref="J98" authorId="0" shapeId="0" xr:uid="{B7416C34-16A7-4FD8-BEAE-A3BDA2E4A36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9" authorId="0" shapeId="0" xr:uid="{2EAC8C72-A308-4E5B-8926-2BE05AF0BDDB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3_x000D_
Num Alumns: 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J25" authorId="0" shapeId="0" xr:uid="{C0000D13-6CE9-427D-A9CB-AD995F986D5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6" authorId="0" shapeId="0" xr:uid="{55E0EFF1-CB73-48A5-83F6-E90DEA29776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27" authorId="0" shapeId="0" xr:uid="{F441CC7A-7857-448B-B371-F1E0AEF74EFE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1 -&gt; Insert :( </t>
        </r>
      </text>
    </comment>
    <comment ref="J28" authorId="0" shapeId="0" xr:uid="{07B9BBA2-AAC0-4F69-BE58-0B84942F708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29" authorId="0" shapeId="0" xr:uid="{9C54A779-7F03-4B93-9DB9-280FEF91A3E0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1 -&gt; Insert :( </t>
        </r>
      </text>
    </comment>
    <comment ref="U30" authorId="0" shapeId="0" xr:uid="{936FDBD7-6496-4FC5-BA35-97F657F12D9A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69 -&gt; Insert :( </t>
        </r>
      </text>
    </comment>
    <comment ref="J31" authorId="0" shapeId="0" xr:uid="{B8610CAA-A07E-4391-A370-D089CDDC2D7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2" authorId="0" shapeId="0" xr:uid="{4512B9AA-66DF-4505-99F7-00C906A5333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4" authorId="0" shapeId="0" xr:uid="{26A163D8-0D35-4BAB-8888-951F7424232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5" authorId="0" shapeId="0" xr:uid="{B4917FCD-003B-429F-AA79-7206B5E5C1E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6" authorId="0" shapeId="0" xr:uid="{A54E7E78-3C5C-425D-BA5F-FDFC7ABBCA9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7" authorId="0" shapeId="0" xr:uid="{24583E55-0A56-40AD-BB38-908872A3C19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38" authorId="0" shapeId="0" xr:uid="{A70BB9AA-AE40-4E8D-BA6D-8F3650CF5E16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130 -&gt; Insert :( </t>
        </r>
      </text>
    </comment>
    <comment ref="J39" authorId="0" shapeId="0" xr:uid="{6EB4CC1C-FE74-461D-A199-7E0EC8FCA76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0" authorId="0" shapeId="0" xr:uid="{3BAA93FF-182C-4814-9642-0D2923695B10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41" authorId="0" shapeId="0" xr:uid="{0A18E362-5FB4-4D93-9BA6-98DD15E77FD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2" authorId="0" shapeId="0" xr:uid="{35934074-66DF-45A7-B51D-5FEAEF3E4A4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43" authorId="0" shapeId="0" xr:uid="{66DB46BA-851F-4C08-A682-CA6A2A0B48C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:( </t>
        </r>
      </text>
    </comment>
    <comment ref="J44" authorId="0" shapeId="0" xr:uid="{81DC11B5-E116-4903-9FAE-BC255892F0A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5" authorId="0" shapeId="0" xr:uid="{B4654BDF-042A-4BA6-A952-D7B355BD7F5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6" authorId="0" shapeId="0" xr:uid="{F2352377-6B48-4283-9844-310A5DEAC81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7" authorId="0" shapeId="0" xr:uid="{B2839EB2-3A33-4603-B00D-C426F93E3FE6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48" authorId="0" shapeId="0" xr:uid="{34999981-F911-4B86-8750-57E0E15D689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9" authorId="0" shapeId="0" xr:uid="{74B494D7-BD62-4C0D-AC1D-F01327498766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50" authorId="0" shapeId="0" xr:uid="{35FC21AD-1823-45E2-B6EB-02FB7DCE630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1" authorId="0" shapeId="0" xr:uid="{FA9BEC5E-1149-4C92-BE03-E91FB6146AF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2" authorId="0" shapeId="0" xr:uid="{ABDB3F59-DC9B-4FBF-9D47-9C575039252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3" authorId="0" shapeId="0" xr:uid="{4CB3A95F-53EA-4800-A96C-04AE31BF454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4" authorId="0" shapeId="0" xr:uid="{FAA28840-1F3A-4DB7-ACD4-89AB5E1ADBDB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55" authorId="0" shapeId="0" xr:uid="{D433D239-658D-4CD5-8F2C-49BAFFD700E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56" authorId="0" shapeId="0" xr:uid="{C26796C5-7347-42BE-BCED-9BF409CB286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69 -&gt; Insert :( </t>
        </r>
      </text>
    </comment>
    <comment ref="U57" authorId="0" shapeId="0" xr:uid="{42855AC7-CFD5-4CBB-8E68-2889D3335A0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122 -&gt; Insert :( </t>
        </r>
      </text>
    </comment>
    <comment ref="U58" authorId="0" shapeId="0" xr:uid="{A89C534E-FAD4-437C-BAD4-07B33D6C78B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12 -&gt; Insert :( </t>
        </r>
      </text>
    </comment>
    <comment ref="J59" authorId="0" shapeId="0" xr:uid="{E0005A69-32EE-4F3F-B171-8FB0A4CF900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0" authorId="0" shapeId="0" xr:uid="{4FE02EC1-017E-4EA2-950D-8FB604BB787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1" authorId="0" shapeId="0" xr:uid="{F7571306-37BF-4AA3-A74F-945707D68F3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2" authorId="0" shapeId="0" xr:uid="{FFA661EA-9140-417B-9948-4517A3A22604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62" authorId="0" shapeId="0" xr:uid="{461BBF7D-0408-40AF-9AFE-624F72073F3C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63" authorId="0" shapeId="0" xr:uid="{F965B68C-BD42-4B62-A161-51CF99EC4D0E}">
      <text>
        <r>
          <rPr>
            <sz val="9"/>
            <color indexed="81"/>
            <rFont val="Tahoma"/>
            <family val="2"/>
          </rPr>
          <t xml:space="preserve">52 -&gt; Insert :) </t>
        </r>
      </text>
    </comment>
    <comment ref="U64" authorId="0" shapeId="0" xr:uid="{07CE7639-5D91-4D1D-93FB-503357A41606}">
      <text>
        <r>
          <rPr>
            <sz val="9"/>
            <color indexed="81"/>
            <rFont val="Tahoma"/>
            <family val="2"/>
          </rPr>
          <t xml:space="preserve">53 -&gt; Insert :) </t>
        </r>
      </text>
    </comment>
    <comment ref="U65" authorId="0" shapeId="0" xr:uid="{32F54655-0CAD-4F5E-9C99-3480448F3F62}">
      <text>
        <r>
          <rPr>
            <sz val="9"/>
            <color indexed="81"/>
            <rFont val="Tahoma"/>
            <family val="2"/>
          </rPr>
          <t xml:space="preserve">54 -&gt; Insert :) </t>
        </r>
      </text>
    </comment>
    <comment ref="U66" authorId="0" shapeId="0" xr:uid="{90E25F2F-A7B2-461C-BF63-349C539BD87D}">
      <text>
        <r>
          <rPr>
            <sz val="9"/>
            <color indexed="81"/>
            <rFont val="Tahoma"/>
            <family val="2"/>
          </rPr>
          <t xml:space="preserve">55 -&gt; Insert :) </t>
        </r>
      </text>
    </comment>
    <comment ref="U67" authorId="0" shapeId="0" xr:uid="{0E5D0358-DA60-4D45-8929-9F8B02A10B73}">
      <text>
        <r>
          <rPr>
            <sz val="9"/>
            <color indexed="81"/>
            <rFont val="Tahoma"/>
            <family val="2"/>
          </rPr>
          <t xml:space="preserve">56 -&gt; Insert :) </t>
        </r>
      </text>
    </comment>
    <comment ref="U68" authorId="0" shapeId="0" xr:uid="{161A900D-FE7A-446A-9B09-A4ADF6AEA6CB}">
      <text>
        <r>
          <rPr>
            <sz val="9"/>
            <color indexed="81"/>
            <rFont val="Tahoma"/>
            <family val="2"/>
          </rPr>
          <t xml:space="preserve">93 -&gt; Insert :) </t>
        </r>
      </text>
    </comment>
    <comment ref="U69" authorId="0" shapeId="0" xr:uid="{915E07EA-DBA7-4FB6-B7FE-11C96BE468E9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251 -&gt; Insert :( </t>
        </r>
      </text>
    </comment>
    <comment ref="U70" authorId="0" shapeId="0" xr:uid="{EB7010B4-819B-4EDE-9DEE-099F65512264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116 -&gt; Insert :( </t>
        </r>
      </text>
    </comment>
    <comment ref="J71" authorId="0" shapeId="0" xr:uid="{C38CBF60-AAF9-447B-AABA-22DEDECFEE4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2" authorId="0" shapeId="0" xr:uid="{2DE3F5AF-9959-49FE-AC94-238D62FF49D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3" authorId="0" shapeId="0" xr:uid="{9C7BCC86-352D-4184-8B6D-4A8412BE9C99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74" authorId="0" shapeId="0" xr:uid="{073DE5CF-4486-44BF-9382-D4C859BD749D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75" authorId="0" shapeId="0" xr:uid="{DEE1DDCA-F8EF-48FC-A4A7-1088F6509BF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6" authorId="0" shapeId="0" xr:uid="{FE38BACD-86BF-4965-8675-F56F76218421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1,5_x000D_
Num Alumns: 1</t>
        </r>
      </text>
    </comment>
    <comment ref="J77" authorId="0" shapeId="0" xr:uid="{8793B213-B594-408B-ABC1-90C5C248EEA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8" authorId="0" shapeId="0" xr:uid="{E1FEFE0D-E42B-43B3-869D-78F35967D9E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0" authorId="0" shapeId="0" xr:uid="{C5FA8567-CF2E-498B-B80B-EBD5D112CF8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1" authorId="0" shapeId="0" xr:uid="{D495FD44-000B-4DD7-BBB8-1362E052726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2" authorId="0" shapeId="0" xr:uid="{2FFCA4F7-0732-4621-9305-7AE1E19222E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3" authorId="0" shapeId="0" xr:uid="{E579D8EB-0C2F-426C-90CB-1EC7E81C745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4" authorId="0" shapeId="0" xr:uid="{05FED1D2-A59E-4851-94BC-079300772D1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5" authorId="0" shapeId="0" xr:uid="{A5B12D0F-8618-42EC-B80B-DDDF9145DD30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86" authorId="0" shapeId="0" xr:uid="{E02DACE9-3B34-4143-9E77-528BEADC4EAA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251 -&gt; Insert :( </t>
        </r>
      </text>
    </comment>
    <comment ref="U87" authorId="0" shapeId="0" xr:uid="{6615FF8F-E7F3-4909-9A8D-A5C163BBD2C0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70 -&gt; Insert :( </t>
        </r>
      </text>
    </comment>
    <comment ref="J88" authorId="0" shapeId="0" xr:uid="{ED5394C3-E132-4121-B3AE-09FEB6EB67C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89" authorId="0" shapeId="0" xr:uid="{84501256-5FF5-4720-BAFC-9486092DC20A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83 -&gt; Insert :( </t>
        </r>
      </text>
    </comment>
    <comment ref="U90" authorId="0" shapeId="0" xr:uid="{A37D5C3A-4A0F-48C4-A1C6-FCC3EEAE8187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181 -&gt; Insert :( </t>
        </r>
      </text>
    </comment>
    <comment ref="U91" authorId="0" shapeId="0" xr:uid="{55BE0891-67B2-4428-B8B5-E3AE445B9F2E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208 -&gt; Insert :( </t>
        </r>
      </text>
    </comment>
    <comment ref="J92" authorId="0" shapeId="0" xr:uid="{D7DCF9EA-5959-415A-9B2C-35F0D3C38ED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3" authorId="0" shapeId="0" xr:uid="{23F05BA9-066B-4A00-BD1A-33718714B843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94" authorId="0" shapeId="0" xr:uid="{120B7B62-6A9E-490D-B0C9-C9433FF6E94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95" authorId="0" shapeId="0" xr:uid="{7AE85A38-67CC-45EA-9933-4B9AA8D0431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174 -&gt; Insert :( </t>
        </r>
      </text>
    </comment>
    <comment ref="J96" authorId="0" shapeId="0" xr:uid="{748CC326-87C0-4DAC-B958-DC9B12AF843F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97" authorId="0" shapeId="0" xr:uid="{79F4F734-ED9C-43C3-838B-BD639ADE2F0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8" authorId="0" shapeId="0" xr:uid="{0A7A7198-D774-4C51-B566-7AC3245B37C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0" authorId="0" shapeId="0" xr:uid="{01D3D0F9-D500-4C86-A0FD-08F2C2E7591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1" authorId="0" shapeId="0" xr:uid="{62F4305B-9813-4B2C-BF81-BFA8F182DE9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2" authorId="0" shapeId="0" xr:uid="{F4A56E4D-882B-41F7-A8AD-8CB76878A76A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1,5_x000D_
Num Alumns: 1</t>
        </r>
      </text>
    </comment>
    <comment ref="U103" authorId="0" shapeId="0" xr:uid="{3DF99185-978F-4B0F-9FFF-F4D104001474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182 -&gt; Insert :( </t>
        </r>
      </text>
    </comment>
    <comment ref="J104" authorId="0" shapeId="0" xr:uid="{4439F549-E1C0-4678-9041-31CFF55B1282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105" authorId="0" shapeId="0" xr:uid="{897E979E-9A32-41ED-A902-30DF7196640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6" authorId="0" shapeId="0" xr:uid="{5FED7E84-D0E9-4F1E-A3CE-86265B3181F5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107" authorId="0" shapeId="0" xr:uid="{DA05FCD3-27C1-4242-865E-A131FF9B8C4F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1,5_x000D_
Num Alumns: 1</t>
        </r>
      </text>
    </comment>
    <comment ref="J108" authorId="0" shapeId="0" xr:uid="{99F66289-F865-4717-A133-3542A688F83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9" authorId="0" shapeId="0" xr:uid="{1D79F163-11C7-4146-B1B7-3AD61C511E6F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U110" authorId="0" shapeId="0" xr:uid="{198FCCBD-5BFE-4E43-85F2-2208064DEFF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181 -&gt; Insert :(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25" authorId="0" shapeId="0" xr:uid="{D875FE8C-2A27-4724-B195-A43A4F49040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25" authorId="0" shapeId="0" xr:uid="{7D9360E5-C69D-4D4E-95C3-914B9142878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6" authorId="0" shapeId="0" xr:uid="{FB4AE7A2-0C24-4A93-9982-65378851A075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27" authorId="0" shapeId="0" xr:uid="{F2A9B397-D110-4C0B-9A75-A80E87A0131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G27" authorId="0" shapeId="0" xr:uid="{35D57432-A3EB-4F7F-8FF5-F9C709ED9BD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H27" authorId="0" shapeId="0" xr:uid="{0295FAA5-01C9-40CD-BBEB-CABF948D59F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J27" authorId="0" shapeId="0" xr:uid="{86B4B820-0D2A-4917-970A-94D13412172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28" authorId="0" shapeId="0" xr:uid="{930DE4B5-F5BC-42C1-A6BD-B934A62A0C13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38 -&gt;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129 -&gt;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115 -&gt; Insert :( </t>
        </r>
      </text>
    </comment>
    <comment ref="F29" authorId="0" shapeId="0" xr:uid="{B7D82418-9964-467B-BF41-36C89B6FC3F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29" authorId="0" shapeId="0" xr:uid="{5B376E24-5C41-4BA2-AE5A-429B6F92A95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0" authorId="0" shapeId="0" xr:uid="{D3C06227-7667-4310-ADF6-0E98808E964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30" authorId="0" shapeId="0" xr:uid="{5488FA18-3089-4F68-9A77-8C045158EBA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30" authorId="0" shapeId="0" xr:uid="{CC672A6B-5C27-4EE0-8DB3-10F9822C985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1" authorId="0" shapeId="0" xr:uid="{14BFCD17-ABD1-4BB6-A329-7FD456F19F0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ID(55)_x000D_
01/02/2024 | Particular bono 8 clases 2P | 180 | Pagado |_x000D_
</t>
        </r>
      </text>
    </comment>
    <comment ref="G31" authorId="0" shapeId="0" xr:uid="{62B3D449-2B52-41D5-889B-B828A37615E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ID(239)_x000D_
01/02/2024 | Particular bono 8 clases 2P | 180 | Pagado |_x000D_
</t>
        </r>
      </text>
    </comment>
    <comment ref="J31" authorId="0" shapeId="0" xr:uid="{EBC08DAF-4D17-464C-B836-BEC1B2DA5C1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2" authorId="0" shapeId="0" xr:uid="{C1CB0A87-2E87-458E-97FF-1BC85A0BC0D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32" authorId="0" shapeId="0" xr:uid="{877DAB9A-364D-4CDD-BD00-AF18DB67866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3" authorId="0" shapeId="0" xr:uid="{33F82F1C-D299-434F-A800-80E91F71E447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34" authorId="0" shapeId="0" xr:uid="{95BFCB98-E271-485C-971C-4312043AC47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ID(81)_x000D_
01/05/2024 | Particular bono 8 clases 1P | 304 | PAGADO |_x000D_
</t>
        </r>
      </text>
    </comment>
    <comment ref="J34" authorId="0" shapeId="0" xr:uid="{DFEFD463-2016-4EF4-BE61-90BDD8AF30B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6" authorId="0" shapeId="0" xr:uid="{06499EFA-43FB-492C-841C-9F62E3D8CB93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36" authorId="0" shapeId="0" xr:uid="{4C69921F-B217-4DFA-A1B3-EC3CC3781BE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7" authorId="0" shapeId="0" xr:uid="{4DE5DBFE-25D7-4942-9CCD-3EE836BC00D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37" authorId="0" shapeId="0" xr:uid="{C8405B07-8E95-4E54-A6AA-0F712E1727F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8" authorId="0" shapeId="0" xr:uid="{1E2C511A-FBCA-400B-83BE-D838A00DECB8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39" authorId="0" shapeId="0" xr:uid="{51B33CEA-AB14-4C53-BD41-01D67B982FA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ID(34)_x000D_
12/01/2024          | Particular bono 8 clases 1P | 33  | pagado | _x000D_
01/03/2024          | Particular bono 8 clases 2P | 180 | Pagado | _x000D_
01/03/2024          | Particular bono 8 clases 1P | 304 | Pagado | _x000D_
01/05/2024          | Particular bono 8 clases 2P | 180 | PAGADO | _x000D_
01/05/2024          | Particular bono 8 clases 1P | 304 | PAGADO | _x000D_
01/07/2024          | Particular bono 8 clases 1P | 33  | pagado | _x000D_
01/08/2024          | Particular bono 8 clases 1P | 33  |        | _x000D_
12/09/2024 23:13:14 | Particular bono 8 clases 1P | 33  |        |_x000D_
</t>
        </r>
      </text>
    </comment>
    <comment ref="J39" authorId="0" shapeId="0" xr:uid="{D11459A2-0E21-44ED-A07F-492F8528656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40" authorId="0" shapeId="0" xr:uid="{47042333-1AA9-4C72-83C5-FABFBFDDCABE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80 -&gt; Insert :( </t>
        </r>
      </text>
    </comment>
    <comment ref="F41" authorId="0" shapeId="0" xr:uid="{4F4701A6-CC8B-4EA8-9C7D-387930EAF8E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G41" authorId="0" shapeId="0" xr:uid="{04576B4C-19B0-43D2-9F54-71CF22C17E2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H41" authorId="0" shapeId="0" xr:uid="{6358E6E2-967D-424F-996D-33E5434C756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J41" authorId="0" shapeId="0" xr:uid="{4A36560C-D70F-4A8E-AF67-270C368F915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42" authorId="0" shapeId="0" xr:uid="{C3AC427E-A8BA-4E89-B228-80A29FD16A5A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174 -&gt; Insert :( </t>
        </r>
      </text>
    </comment>
    <comment ref="U43" authorId="0" shapeId="0" xr:uid="{D3432EC5-8A41-47CF-A1DB-E36DF7F42AED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81 -&gt; Insert :( </t>
        </r>
      </text>
    </comment>
    <comment ref="U44" authorId="0" shapeId="0" xr:uid="{C820C288-4B53-45E5-AB5F-4E2F26D9D07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119 -&gt; Insert :( </t>
        </r>
      </text>
    </comment>
    <comment ref="F45" authorId="0" shapeId="0" xr:uid="{11E5386E-19F1-4D8D-B209-9A3E9DEE41A1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45" authorId="0" shapeId="0" xr:uid="{B9BBC357-C1D9-4342-8B8E-FCFE32438E4C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46" authorId="0" shapeId="0" xr:uid="{1F90388A-FF4B-4DC8-B797-C3973A56FED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:( </t>
        </r>
      </text>
    </comment>
    <comment ref="U47" authorId="0" shapeId="0" xr:uid="{37B351C9-2667-4B2B-924B-7956884ECD6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53 -&gt; Insert :( </t>
        </r>
      </text>
    </comment>
    <comment ref="J48" authorId="0" shapeId="0" xr:uid="{1E07DBE0-B28D-49C7-A9FB-47D4796D071D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49" authorId="0" shapeId="0" xr:uid="{A49071FA-D072-41AF-9B87-7F1BBEC1726C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50" authorId="0" shapeId="0" xr:uid="{DB3C15BF-E474-4D24-B964-A486491D8CE0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51" authorId="0" shapeId="0" xr:uid="{9C95FEF8-9852-4A4B-9609-63C70B840D4F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U52" authorId="0" shapeId="0" xr:uid="{56921A4B-82CF-4135-924E-E8FDEDBBB9BE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69 -&gt; Insert :( </t>
        </r>
      </text>
    </comment>
    <comment ref="F54" authorId="0" shapeId="0" xr:uid="{AF5E8140-477A-4BE4-BD86-152586E9BB9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54" authorId="0" shapeId="0" xr:uid="{11B7D0F9-18E7-4C7D-91A2-3883A0F0684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55" authorId="0" shapeId="0" xr:uid="{2FD0BD9E-D251-4CA5-AB70-83D868FE8E94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:( </t>
        </r>
      </text>
    </comment>
    <comment ref="F56" authorId="0" shapeId="0" xr:uid="{9079B39C-B1D7-44DA-A410-C91E840CD8B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ID(55)_x000D_
01/02/2024 | Particular bono 8 clases 2P | 180 | Pagado |_x000D_
</t>
        </r>
      </text>
    </comment>
    <comment ref="G56" authorId="0" shapeId="0" xr:uid="{7A2CAA95-CD22-4EAE-987C-A92D638C592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ID(239)_x000D_
01/02/2024 | Particular bono 8 clases 2P | 180 | Pagado |_x000D_
</t>
        </r>
      </text>
    </comment>
    <comment ref="J56" authorId="0" shapeId="0" xr:uid="{84EF9323-435D-4FC7-B06B-1D1379B2F1A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58" authorId="0" shapeId="0" xr:uid="{1D218836-6756-4633-B703-85024D28DE0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58" authorId="0" shapeId="0" xr:uid="{70975F98-E391-4C3D-A631-67C540DDB38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9" authorId="0" shapeId="0" xr:uid="{0D2ECE5E-5306-4C30-9CA0-53B55843995A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60" authorId="0" shapeId="0" xr:uid="{C0E46CBB-3CCE-4F11-A776-EF68940D27B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G60" authorId="0" shapeId="0" xr:uid="{49067AF5-69ED-41F8-8BA8-A472C35299C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J60" authorId="0" shapeId="0" xr:uid="{223B4D08-3A66-41F8-9677-0DEE68A0CBF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1" authorId="0" shapeId="0" xr:uid="{E7EDD720-4F7C-4755-A085-CF8287E203E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ID(120)_x000D_
----Sin Registro de Pago----_x000D_
</t>
        </r>
      </text>
    </comment>
    <comment ref="J61" authorId="0" shapeId="0" xr:uid="{21523FA1-E6B0-4D4E-B601-8D476A98394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2" authorId="0" shapeId="0" xr:uid="{F469D131-4C83-41C9-A0D0-17BACD2BE0A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ID(188)_x000D_
01/01/2024 | Particular bono 4 clases 1P | 156 | PAGADO | _x000D_
01/03/2024 | Particular bono 4 clases 1P | 156 | Pagado |_x000D_
</t>
        </r>
      </text>
    </comment>
    <comment ref="G62" authorId="0" shapeId="0" xr:uid="{E2C17C49-8289-4F68-8A8A-E0CBD440FE9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ID(58)_x000D_
01/04/2024 | Particular bono 8 clases 2P | 180 | PAGADO |_x000D_
</t>
        </r>
      </text>
    </comment>
    <comment ref="J62" authorId="0" shapeId="0" xr:uid="{741C8861-2C2B-4B3D-888B-3BB4B54F91D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4" authorId="0" shapeId="0" xr:uid="{CAE02DDB-433D-4659-A0F8-3A1C34C46183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64" authorId="0" shapeId="0" xr:uid="{7DDAFAE1-3549-4F40-976D-99436ED9A94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5" authorId="0" shapeId="0" xr:uid="{523F5170-3C8E-4B10-9638-9EA7EEB3DE2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ID(118)_x000D_
01/03/2024 | Particular bono 8 clases 2P | 180 | Pagado | _x000D_
01/07/2024 | Particular bono 8 clases 2P | 160 | PAGADO |_x000D_
</t>
        </r>
      </text>
    </comment>
    <comment ref="G65" authorId="0" shapeId="0" xr:uid="{A9D551C5-D62E-4A15-97C2-8B6E32D3766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ID(125)_x000D_
01/03/2024 | Particular bono 8 clases 2P | 180 | Pagado | _x000D_
01/07/2024 | Particular bono 8 clases 2P | 160 | PAGADO |_x000D_
</t>
        </r>
      </text>
    </comment>
    <comment ref="J65" authorId="0" shapeId="0" xr:uid="{5B69EAA1-5CDF-43C1-A9F8-B20BAA6644B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6" authorId="0" shapeId="0" xr:uid="{8E43C3D7-D909-46CC-9962-F364F6E06F66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67" authorId="0" shapeId="0" xr:uid="{A1E0530A-543E-4154-A639-F276EBD6A52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ID(34)_x000D_
12/01/2024          | Particular bono 8 clases 1P | 33  | pagado | _x000D_
01/03/2024          | Particular bono 8 clases 2P | 180 | Pagado | _x000D_
01/03/2024          | Particular bono 8 clases 1P | 304 | Pagado | _x000D_
01/05/2024          | Particular bono 8 clases 2P | 180 | PAGADO | _x000D_
01/05/2024          | Particular bono 8 clases 1P | 304 | PAGADO | _x000D_
01/07/2024          | Particular bono 8 clases 1P | 33  | pagado | _x000D_
01/08/2024          | Particular bono 8 clases 1P | 33  |        | _x000D_
12/09/2024 23:13:14 | Particular bono 8 clases 1P | 33  |        |_x000D_
</t>
        </r>
      </text>
    </comment>
    <comment ref="J67" authorId="0" shapeId="0" xr:uid="{5E2C0294-B19C-4358-9A31-5BB077DF288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8" authorId="0" shapeId="0" xr:uid="{ECDA0621-2D8C-44B2-8672-228ED823D93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G68" authorId="0" shapeId="0" xr:uid="{0F351DAA-BE32-44E1-A74D-08EF3F4FE5D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J68" authorId="0" shapeId="0" xr:uid="{B2C5D284-E087-44D1-BCEC-FDDEFA425CC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9" authorId="0" shapeId="0" xr:uid="{267AD769-A049-4C6E-B169-8C94E07F17D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G69" authorId="0" shapeId="0" xr:uid="{C3D31F4E-40BE-4452-94E3-CD21C25DD2B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J69" authorId="0" shapeId="0" xr:uid="{CC858DB7-CBC5-4F73-9751-C643800EA2D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1" authorId="0" shapeId="0" xr:uid="{22F5804B-0D96-48CB-80B4-42F81EA0B24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71" authorId="0" shapeId="0" xr:uid="{F247804C-ECBD-48C5-8E40-C5E305E393C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2" authorId="0" shapeId="0" xr:uid="{430EEEBE-91BD-4EDD-B662-4969C885B9A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72" authorId="0" shapeId="0" xr:uid="{F5C2EE58-30DE-403F-B3DA-B6FCB366A00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3" authorId="0" shapeId="0" xr:uid="{58367C03-D14C-4988-A2D6-C4F20208ADF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73" authorId="0" shapeId="0" xr:uid="{C4BCBBED-62C6-45E8-BE27-1A3A1D0A920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73" authorId="0" shapeId="0" xr:uid="{612FDF31-2E56-4020-9E0D-86F81557C98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4" authorId="0" shapeId="0" xr:uid="{592A1F35-FD85-4035-B4DC-05D02D33342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J74" authorId="0" shapeId="0" xr:uid="{40F300C1-3C69-494D-9ACC-09019EF36AA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75" authorId="0" shapeId="0" xr:uid="{1C504DEE-E53F-4972-B9FC-86DE78138A4B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69 -&gt; Insert :( </t>
        </r>
      </text>
    </comment>
    <comment ref="F76" authorId="0" shapeId="0" xr:uid="{DD668C78-58EB-47DB-BC2E-167F67C38DF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76" authorId="0" shapeId="0" xr:uid="{3AB396C0-3ED3-4C40-AFEE-D6EBC8993F1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7" authorId="0" shapeId="0" xr:uid="{2FD746D3-2A1D-4141-8667-08B842F77289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78" authorId="0" shapeId="0" xr:uid="{6305C7AA-2DEC-4724-BDC6-8D1447C5EAD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ID(122)_x000D_
01/03/2024 | Particular bono 4 clases 1P | 156 | Pagado |_x000D_
</t>
        </r>
      </text>
    </comment>
    <comment ref="J78" authorId="0" shapeId="0" xr:uid="{B8ADF35A-BEE6-44BC-B9BA-7E061047718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79" authorId="0" shapeId="0" xr:uid="{1AEE428F-6A3A-4BA1-8C1B-94205482003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119 -&gt; Insert :( </t>
        </r>
      </text>
    </comment>
    <comment ref="F80" authorId="0" shapeId="0" xr:uid="{2A827038-9242-4CF7-B58E-12978C340B4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ID(188)_x000D_
01/01/2024 | Particular bono 4 clases 1P | 156 | PAGADO | _x000D_
01/03/2024 | Particular bono 4 clases 1P | 156 | Pagado |_x000D_
</t>
        </r>
      </text>
    </comment>
    <comment ref="G80" authorId="0" shapeId="0" xr:uid="{BF9C2F7C-DB68-41E4-8C88-E63D59EC66F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ID(58)_x000D_
01/04/2024 | Particular bono 8 clases 2P | 180 | PAGADO |_x000D_
</t>
        </r>
      </text>
    </comment>
    <comment ref="J80" authorId="0" shapeId="0" xr:uid="{8D8CAE31-6FC5-4C83-A022-155D8EF65EF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2" authorId="0" shapeId="0" xr:uid="{E8BF15F0-40AD-4433-A7E8-64841D94E11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82" authorId="0" shapeId="0" xr:uid="{B38E283A-DBE9-4C3A-8AD8-B7386D8CB08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3" authorId="0" shapeId="0" xr:uid="{737AEDE5-43D1-4B76-92DD-540D0C275FD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ID(118)_x000D_
01/03/2024 | Particular bono 8 clases 2P | 180 | Pagado | _x000D_
01/07/2024 | Particular bono 8 clases 2P | 160 | PAGADO |_x000D_
</t>
        </r>
      </text>
    </comment>
    <comment ref="G83" authorId="0" shapeId="0" xr:uid="{49E87583-4B33-423F-8CE4-75FA8C75FF1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ID(125)_x000D_
01/03/2024 | Particular bono 8 clases 2P | 180 | Pagado | _x000D_
01/07/2024 | Particular bono 8 clases 2P | 160 | PAGADO |_x000D_
</t>
        </r>
      </text>
    </comment>
    <comment ref="J83" authorId="0" shapeId="0" xr:uid="{4868EFEF-693E-406B-AA8C-0B86BF49DC7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4" authorId="0" shapeId="0" xr:uid="{D864C168-64AF-43C8-991B-41EF597D87F9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85" authorId="0" shapeId="0" xr:uid="{A0B82B4B-9FAF-4E96-BD29-B55234538A0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ID(34)_x000D_
12/01/2024          | Particular bono 8 clases 1P | 33  | pagado | _x000D_
01/03/2024          | Particular bono 8 clases 2P | 180 | Pagado | _x000D_
01/03/2024          | Particular bono 8 clases 1P | 304 | Pagado | _x000D_
01/05/2024          | Particular bono 8 clases 2P | 180 | PAGADO | _x000D_
01/05/2024          | Particular bono 8 clases 1P | 304 | PAGADO | _x000D_
01/07/2024          | Particular bono 8 clases 1P | 33  | pagado | _x000D_
01/08/2024          | Particular bono 8 clases 1P | 33  |        | _x000D_
12/09/2024 23:13:14 | Particular bono 8 clases 1P | 33  |        |_x000D_
</t>
        </r>
      </text>
    </comment>
    <comment ref="J85" authorId="0" shapeId="0" xr:uid="{C1AE0F4A-1906-4E6B-8B01-6D6CDCD86F7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6" authorId="0" shapeId="0" xr:uid="{31888906-8B7A-480E-BD50-432BA8ED720C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87" authorId="0" shapeId="0" xr:uid="{FEB622F7-D72F-41A7-A64A-1AFC47013819}">
      <text>
        <r>
          <rPr>
            <sz val="9"/>
            <color indexed="81"/>
            <rFont val="Tahoma"/>
            <family val="2"/>
          </rPr>
          <t>_x000D_
Sin Alumnos y sin Observaciones :(</t>
        </r>
      </text>
    </comment>
    <comment ref="F88" authorId="0" shapeId="0" xr:uid="{6C9E3255-7A73-4089-8FDA-D73F11A9F69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ID(251)_x000D_
01/01/2024 | Particular bono 4 clases 1P | 156 | PAGADO | _x000D_
01/05/2024 | Particular bono 8 clases 1P | 304 | PAGADO |_x000D_
</t>
        </r>
      </text>
    </comment>
    <comment ref="J88" authorId="0" shapeId="0" xr:uid="{F9073B8C-B132-407C-BE09-412654136D6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0" authorId="0" shapeId="0" xr:uid="{8D1E88CB-CC2A-48D8-A651-6F532B71485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90" authorId="0" shapeId="0" xr:uid="{108B9230-8EEF-4FB5-9645-BC48813C7F5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1" authorId="0" shapeId="0" xr:uid="{F601CA66-0B67-4538-8A0C-6979815BAE4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91" authorId="0" shapeId="0" xr:uid="{B535DA6E-FBC4-4A0B-B62D-34DB64A88F5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91" authorId="0" shapeId="0" xr:uid="{6B796B26-39CF-424D-86A3-3B21F354AF5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2" authorId="0" shapeId="0" xr:uid="{9C11B3B9-E309-402C-9B17-B8DFDEFAD303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J92" authorId="0" shapeId="0" xr:uid="{B8D1DC2E-87A0-4B8B-888E-EF435DC11D3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3" authorId="0" shapeId="0" xr:uid="{E9A28406-3363-4914-A1D7-43517DFCC78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ID(122)_x000D_
01/03/2024 | Particular bono 4 clases 1P | 156 | Pagado |_x000D_
</t>
        </r>
      </text>
    </comment>
    <comment ref="J93" authorId="0" shapeId="0" xr:uid="{761C7E30-5A4D-417F-8555-3A140B41851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4" authorId="0" shapeId="0" xr:uid="{3E20154C-ABDF-487E-8D14-9AB95BC5D58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ID(132)_x000D_
01/02/2024 | Particular bono 8 clases 1P | 304 | Pagado |_x000D_
</t>
        </r>
      </text>
    </comment>
    <comment ref="G94" authorId="0" shapeId="0" xr:uid="{A7F37BD6-1C1F-41EF-BF09-BFBD09AA7ED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ID(53)_x000D_
----Sin Registro de Pago----_x000D_
</t>
        </r>
      </text>
    </comment>
    <comment ref="J94" authorId="0" shapeId="0" xr:uid="{02BE7D8F-232B-4741-919B-7CDFF32CFAC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95" authorId="0" shapeId="0" xr:uid="{E45DFC7A-6215-4D11-9C45-8D597100660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172 -&gt; Insert :( </t>
        </r>
      </text>
    </comment>
    <comment ref="F96" authorId="0" shapeId="0" xr:uid="{2797D6B2-7998-4139-ABFD-554512546FE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ID(251)_x000D_
01/01/2024 | Particular bono 4 clases 1P | 156 | PAGADO | _x000D_
01/05/2024 | Particular bono 8 clases 1P | 304 | PAGADO |_x000D_
</t>
        </r>
      </text>
    </comment>
    <comment ref="J96" authorId="0" shapeId="0" xr:uid="{1D9C1E13-DF52-4366-9313-4AC37350C85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7" authorId="0" shapeId="0" xr:uid="{381ABD3D-8478-4ED2-89AB-2DEE2F86179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97" authorId="0" shapeId="0" xr:uid="{E6423D6C-10C0-40BC-808F-804B8F69545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8" authorId="0" shapeId="0" xr:uid="{359C5FC5-0216-49E1-9EBD-556CE65F147B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99" authorId="0" shapeId="0" xr:uid="{A6CAFA70-C6BC-4441-A742-27B84FBDD21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ID(103)_x000D_
01/02/2024 | Particular bono 4 clases 1P | 156 | Pagado | _x000D_
01/07/2024 | Particular bono 4 clases 1P | 156 | PAGADO |_x000D_
</t>
        </r>
      </text>
    </comment>
    <comment ref="J99" authorId="0" shapeId="0" xr:uid="{D48217E7-4238-4F3E-B7BB-5D4754A51CC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0" authorId="0" shapeId="0" xr:uid="{F4E591DA-D2A4-4E50-9108-3E3B3469957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ID(185)_x000D_
----Sin Registro de Pago----_x000D_
</t>
        </r>
      </text>
    </comment>
    <comment ref="G100" authorId="0" shapeId="0" xr:uid="{12E71A7F-A716-4C6F-9B25-6A636BDCEC2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ID(58)_x000D_
01/04/2024 | Particular bono 8 clases 2P | 180 | PAGADO |_x000D_
</t>
        </r>
      </text>
    </comment>
    <comment ref="J100" authorId="0" shapeId="0" xr:uid="{B02707F3-8FF9-430B-8233-DA56AFCFD6C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1" authorId="0" shapeId="0" xr:uid="{03668A47-B20E-4ABD-82F7-8C5130AB2F6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101" authorId="0" shapeId="0" xr:uid="{E31B99F2-957D-4787-B6BD-65E9FB0ABAB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2" authorId="0" shapeId="0" xr:uid="{A8F43420-9E59-414E-939E-2D3E3573B5F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102" authorId="0" shapeId="0" xr:uid="{8E241D7B-014E-480C-99C9-A93217ED33B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3" authorId="0" shapeId="0" xr:uid="{7FA42CC4-6096-4D65-BBEA-F68B5367E0BB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104" authorId="0" shapeId="0" xr:uid="{8FDE9492-FC65-4581-A665-8C7C8EC985A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ID(34)_x000D_
12/01/2024          | Particular bono 8 clases 1P | 33  | pagado | _x000D_
01/03/2024          | Particular bono 8 clases 2P | 180 | Pagado | _x000D_
01/03/2024          | Particular bono 8 clases 1P | 304 | Pagado | _x000D_
01/05/2024          | Particular bono 8 clases 2P | 180 | PAGADO | _x000D_
01/05/2024          | Particular bono 8 clases 1P | 304 | PAGADO | _x000D_
01/07/2024          | Particular bono 8 clases 1P | 33  | pagado | _x000D_
01/08/2024          | Particular bono 8 clases 1P | 33  |        | _x000D_
12/09/2024 23:13:14 | Particular bono 8 clases 1P | 33  |        |_x000D_
</t>
        </r>
      </text>
    </comment>
    <comment ref="J104" authorId="0" shapeId="0" xr:uid="{3C351A27-B171-4EA6-970B-8480EDF1E6B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5" authorId="0" shapeId="0" xr:uid="{68ACDE49-8DD8-4E7D-9BE9-84174DFE9A7E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106" authorId="0" shapeId="0" xr:uid="{BA332AC2-8A2B-433B-8A90-157DA2B6F11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ID(190)_x000D_
01/02/2024 | Particular bono 8 clases 1P | 304 | Pagado |_x000D_
</t>
        </r>
      </text>
    </comment>
    <comment ref="J106" authorId="0" shapeId="0" xr:uid="{5E2F4FC1-7AF0-4707-BB82-A8BDC040696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07" authorId="0" shapeId="0" xr:uid="{9F086D88-14C6-4B29-92A9-7DE11F138E6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86 -&gt; Insert :( </t>
        </r>
      </text>
    </comment>
    <comment ref="J108" authorId="0" shapeId="0" xr:uid="{DFCCA3BC-82C6-4A40-BD01-6BD85551BD20}">
      <text>
        <r>
          <rPr>
            <sz val="9"/>
            <color indexed="81"/>
            <rFont val="Tahoma"/>
            <family val="2"/>
          </rPr>
          <t>_x000D_
Sin Alumnos y sin Observaciones :(</t>
        </r>
      </text>
    </comment>
    <comment ref="F109" authorId="0" shapeId="0" xr:uid="{6D7A760E-49D6-46A9-9493-51713AF63FE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G109" authorId="0" shapeId="0" xr:uid="{27945A5B-0A40-4E5F-9FA4-A0C453C4B7C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H109" authorId="0" shapeId="0" xr:uid="{69C07C98-7E78-4367-A9C8-C2C750CD1D1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J109" authorId="0" shapeId="0" xr:uid="{0DCAD56D-33DB-40C3-ACC7-2F9E1E249B1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10" authorId="0" shapeId="0" xr:uid="{43F79D55-12D3-41E3-90CB-00FB23B999F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J110" authorId="0" shapeId="0" xr:uid="{7492DD83-F023-4C1D-8F60-038373D207A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11" authorId="0" shapeId="0" xr:uid="{E47B9540-DA21-44E3-95C5-B378B7A8ED7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130 -&gt; Insert :(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J25" authorId="0" shapeId="0" xr:uid="{F89CCDED-580A-40CB-AE8D-42BE94D9CEC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6" authorId="0" shapeId="0" xr:uid="{0CD3C3CF-4BD5-4EB4-9A22-A66A9C47D83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7" authorId="0" shapeId="0" xr:uid="{23F830D7-1BC8-4D1A-96BA-65C5E566317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8" authorId="0" shapeId="0" xr:uid="{6DD5622C-EE75-435C-AF82-E0B376D0104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29" authorId="0" shapeId="0" xr:uid="{AAEAB329-FACE-4A85-8F96-FC342F03649F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29" authorId="0" shapeId="0" xr:uid="{A7F62ECE-3F8E-4324-A84D-C988F22D4D90}">
      <text>
        <r>
          <rPr>
            <sz val="9"/>
            <color indexed="81"/>
            <rFont val="Tahoma"/>
            <family val="2"/>
          </rPr>
          <t>:: ERROR :: Concepto No Encontrado_x000D_
_x000D_
TipoProducto: XCOMPETICION_x000D_
Num Horas: 1,5_x000D_
Num Alumns: 1</t>
        </r>
      </text>
    </comment>
    <comment ref="U30" authorId="0" shapeId="0" xr:uid="{680A6BA8-20C9-456E-926B-22736E07EEF2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94 -&gt; Insert :( </t>
        </r>
      </text>
    </comment>
    <comment ref="U31" authorId="0" shapeId="0" xr:uid="{819F3B00-7269-4F53-A47A-2DA263B98A5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95 -&gt; Insert :( </t>
        </r>
      </text>
    </comment>
    <comment ref="U32" authorId="0" shapeId="0" xr:uid="{4006F21C-D345-4C7B-956B-48F10792F544}">
      <text>
        <r>
          <rPr>
            <sz val="9"/>
            <color indexed="81"/>
            <rFont val="Tahoma"/>
            <family val="2"/>
          </rPr>
          <t xml:space="preserve">96 -&gt; Insert :) </t>
        </r>
      </text>
    </comment>
    <comment ref="U33" authorId="0" shapeId="0" xr:uid="{40FECB24-C0FD-41DA-95E0-52AEF13BD17F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69 -&gt; Insert :( </t>
        </r>
      </text>
    </comment>
    <comment ref="J34" authorId="0" shapeId="0" xr:uid="{BFF029E9-1212-4898-AFF4-7A25C149461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5" authorId="0" shapeId="0" xr:uid="{075EA4D8-BD53-40E9-A59E-9F585D77A0A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6" authorId="0" shapeId="0" xr:uid="{2BB89AFB-E808-48E9-BFE2-3F7800AE0A4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7" authorId="0" shapeId="0" xr:uid="{7F247B47-EA56-42D7-88B6-5DAD9786EC1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38" authorId="0" shapeId="0" xr:uid="{6573855A-9B79-4EDE-BA8F-B63C4D4A599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40" authorId="0" shapeId="0" xr:uid="{88035F6A-18A5-4896-BD06-7B71CAFF0717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121 -&gt; Insert :( </t>
        </r>
      </text>
    </comment>
    <comment ref="J41" authorId="0" shapeId="0" xr:uid="{60CAF1E4-7D63-4639-B51F-0D8BC964CF3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2" authorId="0" shapeId="0" xr:uid="{CBABE598-81AD-496B-8790-5C87F1384B3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3" authorId="0" shapeId="0" xr:uid="{371CFC14-FA23-4CFB-A9EC-3FFAB007697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44" authorId="0" shapeId="0" xr:uid="{D6A1673F-6163-444C-8D78-BDCE06390DE1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241 -&gt;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:( </t>
        </r>
      </text>
    </comment>
    <comment ref="U45" authorId="0" shapeId="0" xr:uid="{6158D1C6-AEC6-404C-B1C5-25DE318BEB43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45 -&gt;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14 -&gt;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20 -&gt; Insert :( </t>
        </r>
      </text>
    </comment>
    <comment ref="U46" authorId="0" shapeId="0" xr:uid="{164427C3-CDA5-4657-8711-32A964E38D5E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124 -&gt;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101 -&gt;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60 -&gt;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147 -&gt; Insert :( </t>
        </r>
      </text>
    </comment>
    <comment ref="J47" authorId="0" shapeId="0" xr:uid="{529397FA-F67D-44B1-8556-B4B6B3098B9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8" authorId="0" shapeId="0" xr:uid="{27ACD2DE-AC7E-4CB4-A686-67174DEF1ED7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49" authorId="0" shapeId="0" xr:uid="{6C158AD9-E85C-4DEE-A77B-2FAA7D99BB2A}">
      <text>
        <r>
          <rPr>
            <sz val="9"/>
            <color indexed="81"/>
            <rFont val="Tahoma"/>
            <family val="2"/>
          </rPr>
          <t>:: ERROR :: Concepto No Encontrado_x000D_
_x000D_
TipoProducto: ESCUELA_x000D_
Num Horas: 1,5_x000D_
Num Alumns: 1</t>
        </r>
      </text>
    </comment>
    <comment ref="J50" authorId="0" shapeId="0" xr:uid="{2ACC5A86-2792-4115-82FA-E8D42FF2BFD2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3_x000D_
Num Alumns: 0</t>
        </r>
      </text>
    </comment>
    <comment ref="J51" authorId="0" shapeId="0" xr:uid="{CF9872F1-F953-447F-B1C2-E2387EE9FCC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2" authorId="0" shapeId="0" xr:uid="{998E108A-37CF-4917-B9C1-6402A72AA01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53" authorId="0" shapeId="0" xr:uid="{017CAF64-D2A9-46D5-AD67-A118B4A6AE83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53" authorId="0" shapeId="0" xr:uid="{F9795EF7-FF21-4C17-89BC-6B9BD606FB9E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54" authorId="0" shapeId="0" xr:uid="{0F0ED632-54C2-45C2-8353-C471C948699F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:( </t>
        </r>
      </text>
    </comment>
    <comment ref="U55" authorId="0" shapeId="0" xr:uid="{B514ECEC-7DCA-4FA5-9311-AEB50BF3DA6D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53 -&gt; Insert :( </t>
        </r>
      </text>
    </comment>
    <comment ref="U56" authorId="0" shapeId="0" xr:uid="{98990ADF-CA27-42EE-94FB-B1E857852ED0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54 -&gt; Insert :( </t>
        </r>
      </text>
    </comment>
    <comment ref="U57" authorId="0" shapeId="0" xr:uid="{C0AE023B-B341-47BD-9EFE-4CF5C9AA14B6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55 -&gt; Insert :( </t>
        </r>
      </text>
    </comment>
    <comment ref="U58" authorId="0" shapeId="0" xr:uid="{73AEFC0A-79DA-4C49-8A08-E4272FA6DA52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56 -&gt; Insert :( </t>
        </r>
      </text>
    </comment>
    <comment ref="U59" authorId="0" shapeId="0" xr:uid="{59EA6742-2774-4C41-B6AD-D6D18A9386F9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93 -&gt; Insert :( </t>
        </r>
      </text>
    </comment>
    <comment ref="J60" authorId="0" shapeId="0" xr:uid="{A4BB6064-A4F5-4AF6-ABCB-CD64033A1CA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1" authorId="0" shapeId="0" xr:uid="{FA289988-6DCB-4775-B283-AB93DFF2AE3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2" authorId="0" shapeId="0" xr:uid="{AAB8C92B-EDB0-4334-A6B4-5F9952ADE6D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3" authorId="0" shapeId="0" xr:uid="{20613355-3175-41AF-8800-5DD24049A5C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4" authorId="0" shapeId="0" xr:uid="{F310C372-AAB5-4704-B5CF-F7920D3A0DB8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65" authorId="0" shapeId="0" xr:uid="{193BE23A-61BC-4274-9317-FA82ED79678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6" authorId="0" shapeId="0" xr:uid="{4A445F81-20AA-4EDC-840E-D9A597E0048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7" authorId="0" shapeId="0" xr:uid="{B8A257D3-476F-4016-AF3E-BB6C5A28077B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1_x000D_
Num Alumns: 2</t>
        </r>
      </text>
    </comment>
    <comment ref="J69" authorId="0" shapeId="0" xr:uid="{DB08A1A8-05E3-486C-94D4-577A1A95C47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0" authorId="0" shapeId="0" xr:uid="{FBB2429D-CA35-4FF1-B4FD-F0AD1FC7503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1" authorId="0" shapeId="0" xr:uid="{0300E1DD-E5F1-40B7-9F3D-E21BF436E69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2" authorId="0" shapeId="0" xr:uid="{6B6C60C7-F017-48A1-A680-AA637ED498E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3" authorId="0" shapeId="0" xr:uid="{4223BBB7-3DEA-438B-9185-A76B1680E6E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4" authorId="0" shapeId="0" xr:uid="{D2203012-92FF-49D6-BF67-BC92EB9A078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75" authorId="0" shapeId="0" xr:uid="{E4D54AD2-2464-4389-A3FA-98BE1BEE5407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241 -&gt;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:( </t>
        </r>
      </text>
    </comment>
    <comment ref="J76" authorId="0" shapeId="0" xr:uid="{5B877950-D7C3-4669-8C65-E7E7613EA48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7" authorId="0" shapeId="0" xr:uid="{126A30BA-9ABB-42BA-9A32-F962A675D4D0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78" authorId="0" shapeId="0" xr:uid="{48EAA5C2-1163-403C-A84F-E8056930116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9" authorId="0" shapeId="0" xr:uid="{9DEE36AD-DF36-476B-899E-47CAD4CBF55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0" authorId="0" shapeId="0" xr:uid="{C58C2AAC-791F-4988-97A8-6AD4697B4164}">
      <text>
        <r>
          <rPr>
            <sz val="9"/>
            <color indexed="81"/>
            <rFont val="Tahoma"/>
            <family val="2"/>
          </rPr>
          <t>:: ERROR :: Concepto No Encontrado_x000D_
_x000D_
TipoProducto: ESCUELA_x000D_
Num Horas: 1,5_x000D_
Num Alumns: 1</t>
        </r>
      </text>
    </comment>
    <comment ref="J82" authorId="0" shapeId="0" xr:uid="{23EF9485-6A89-4D22-9B30-2EFC192CF81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3" authorId="0" shapeId="0" xr:uid="{2A74FC88-0AD0-491D-9C80-E5619AE613C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4" authorId="0" shapeId="0" xr:uid="{27E9CDD0-ADE0-4A3D-8A5F-C4B83D3760D6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85" authorId="0" shapeId="0" xr:uid="{C58B7001-31D0-4DC6-B5D8-7A84C2B38CF3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174 -&gt; Insert :( </t>
        </r>
      </text>
    </comment>
    <comment ref="J86" authorId="0" shapeId="0" xr:uid="{6D049B73-207C-4744-9240-9D1AA1495E49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87" authorId="0" shapeId="0" xr:uid="{CD08B260-A168-4BD9-BEB0-A50DF3C6FB0B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123 -&gt;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167 -&gt; Insert :( </t>
        </r>
      </text>
    </comment>
    <comment ref="U89" authorId="0" shapeId="0" xr:uid="{0FEE4DB9-529E-4AE2-8325-3765F98799E3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47 -&gt;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167 -&gt; Insert :( </t>
        </r>
      </text>
    </comment>
    <comment ref="U90" authorId="0" shapeId="0" xr:uid="{D9962199-B118-4C79-882A-28F1FD03D47C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7 -&gt; Insert :( </t>
        </r>
      </text>
    </comment>
    <comment ref="J91" authorId="0" shapeId="0" xr:uid="{DC3DA3CE-7498-432A-BD5C-D5133600A43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2" authorId="0" shapeId="0" xr:uid="{4DD0631A-0A7F-4A9E-AE38-988EDD5EFFA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3" authorId="0" shapeId="0" xr:uid="{2E1998ED-AB9C-4029-81E3-7C44C2E7770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4" authorId="0" shapeId="0" xr:uid="{782D3FA6-5C06-44E8-8AA8-CB5FB31A9E4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5" authorId="0" shapeId="0" xr:uid="{9E91BB23-21A9-4EAF-BCA6-FC097737447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6" authorId="0" shapeId="0" xr:uid="{0FA8ECE0-58A2-435B-B4B5-6B4154DC999D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97" authorId="0" shapeId="0" xr:uid="{8D857127-1B5A-4E68-BF24-0D7173DCAF3F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:( </t>
        </r>
      </text>
    </comment>
    <comment ref="J98" authorId="0" shapeId="0" xr:uid="{F29ED861-5D8C-4BD6-A6CB-3B635D09FD4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99" authorId="0" shapeId="0" xr:uid="{A660DB43-6B5D-4E8A-97C6-AA91BE507002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119 -&gt; Insert :( </t>
        </r>
      </text>
    </comment>
    <comment ref="J100" authorId="0" shapeId="0" xr:uid="{B7937404-465A-4028-B5B2-D2D2D3E1953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1" authorId="0" shapeId="0" xr:uid="{9F423421-4C55-4B93-95B2-9A0F2CCFE3AA}">
      <text>
        <r>
          <rPr>
            <sz val="9"/>
            <color indexed="81"/>
            <rFont val="Tahoma"/>
            <family val="2"/>
          </rPr>
          <t>:: ERROR :: Concepto No Encontrado_x000D_
_x000D_
TipoProducto: ESCUELA_x000D_
Num Horas: 1,5_x000D_
Num Alumns: 1</t>
        </r>
      </text>
    </comment>
    <comment ref="J102" authorId="0" shapeId="0" xr:uid="{9036003A-FA45-4ACC-AA58-B4ECEDC003D5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103" authorId="0" shapeId="0" xr:uid="{926F5C14-9F52-4D17-9FA7-008F81783261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104" authorId="0" shapeId="0" xr:uid="{33106C10-80D5-47A9-BF68-B0B9D4035DC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5" authorId="0" shapeId="0" xr:uid="{2B64026D-B61C-47B7-B709-1F9B3A1D1301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106" authorId="0" shapeId="0" xr:uid="{1C95F5CC-EA74-461B-8934-D4E7DC1F5E04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174 -&gt; Insert :( </t>
        </r>
      </text>
    </comment>
    <comment ref="J107" authorId="0" shapeId="0" xr:uid="{7AEFEA60-4475-40F3-B781-CC16EF4063C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08" authorId="0" shapeId="0" xr:uid="{76BCEA94-AFD9-46C2-A88F-97360FC3EE00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241 -&gt;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:( </t>
        </r>
      </text>
    </comment>
    <comment ref="U109" authorId="0" shapeId="0" xr:uid="{7D427E66-9E4E-410F-8B3A-9746729A81A8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20 -&gt;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14 -&gt;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45 -&gt; Insert :( </t>
        </r>
      </text>
    </comment>
    <comment ref="U110" authorId="0" shapeId="0" xr:uid="{1B919135-010E-4C32-83F1-1FDD2522C66F}">
      <text>
        <r>
          <rPr>
            <sz val="9"/>
            <color indexed="81"/>
            <rFont val="Tahoma"/>
            <family val="2"/>
          </rPr>
          <t xml:space="preserve">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147 -&gt;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124 -&gt;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60 -&gt; Insert :(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Valores Duplicados_x000D_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101 -&gt; Insert :(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25" authorId="0" shapeId="0" xr:uid="{F30B86C1-BBB8-4B94-912E-9F1C6A3DD79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25" authorId="0" shapeId="0" xr:uid="{DD3CC96F-A435-499A-8B20-DE0CFD5C153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26" authorId="0" shapeId="0" xr:uid="{94FE0F71-AE60-48FB-8022-01B236D8F8B7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27" authorId="0" shapeId="0" xr:uid="{E38217A1-DEE6-41C9-8125-2A95156F5C9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27" authorId="0" shapeId="0" xr:uid="{0D24560D-44BE-406F-8C5F-B9768B2FFCE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28" authorId="0" shapeId="0" xr:uid="{F4E0F3C4-19C0-4B1C-8C2D-864170FDAE43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28" authorId="0" shapeId="0" xr:uid="{47E10BBD-936E-434B-9189-21572BE1F10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29" authorId="0" shapeId="0" xr:uid="{E929BB92-6207-4F53-9F3B-1E0F79B83C3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29" authorId="0" shapeId="0" xr:uid="{D328C803-7B27-4C36-B178-436A33C0E34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0" authorId="0" shapeId="0" xr:uid="{7468C450-898E-4C61-B2FE-53CDB8D5D33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G30" authorId="0" shapeId="0" xr:uid="{CB02F495-A48D-4F09-A9DC-D842258E8E2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J30" authorId="0" shapeId="0" xr:uid="{092B9B6C-6C41-4E1D-B40D-332C0B7720C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31" authorId="0" shapeId="0" xr:uid="{58AE767B-2E26-4D46-8B47-1945B7166189}">
      <text>
        <r>
          <rPr>
            <sz val="9"/>
            <color indexed="81"/>
            <rFont val="Tahoma"/>
            <family val="2"/>
          </rPr>
          <t xml:space="preserve">202 -&gt; Insert :) </t>
        </r>
      </text>
    </comment>
    <comment ref="F32" authorId="0" shapeId="0" xr:uid="{0976A5CA-F567-4DA8-A9FD-75AF7F8FF37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ID(212)_x000D_
01/02/2024 | Particular bono 4 clases 1P | 156 | Pagado |_x000D_
</t>
        </r>
      </text>
    </comment>
    <comment ref="J32" authorId="0" shapeId="0" xr:uid="{016E4CCB-999C-4FC9-A5B2-1D71E136408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3" authorId="0" shapeId="0" xr:uid="{3C2DF1ED-D2F3-42C4-93E5-EAE6E62A5E3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ID(122)_x000D_
01/03/2024 | Particular bono 4 clases 1P | 156 | Pagado |_x000D_
</t>
        </r>
      </text>
    </comment>
    <comment ref="J33" authorId="0" shapeId="0" xr:uid="{1D77773C-0890-4D8C-8664-0BA773A3DCC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5" authorId="0" shapeId="0" xr:uid="{E68EEAF0-EA09-44EC-A451-5C2BB1ABA31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35" authorId="0" shapeId="0" xr:uid="{B5964D3A-E6CB-41FE-81ED-D3298D9305D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36" authorId="0" shapeId="0" xr:uid="{94DCD5FF-747E-4210-B26D-37D2EC61ABF1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36" authorId="0" shapeId="0" xr:uid="{97BF79A8-5B31-4071-9AA8-97D2FF8A96B8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37" authorId="0" shapeId="0" xr:uid="{DD1FFC7C-0A79-45C5-BD30-9D704C2096FA}">
      <text>
        <r>
          <rPr>
            <sz val="9"/>
            <color indexed="81"/>
            <rFont val="Tahoma"/>
            <family val="2"/>
          </rPr>
          <t xml:space="preserve">52 -&gt; Insert :) </t>
        </r>
      </text>
    </comment>
    <comment ref="J38" authorId="0" shapeId="0" xr:uid="{A71EF561-930B-439B-8C85-29F431A1481C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39" authorId="0" shapeId="0" xr:uid="{29AC8FEE-DD8A-4FCD-810E-C7FC653FE159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40" authorId="0" shapeId="0" xr:uid="{38F8DFEA-BC58-4E9F-AA09-0C56CB061489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41" authorId="0" shapeId="0" xr:uid="{51C5858D-5125-43AA-A6E0-7BD08121A701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42" authorId="0" shapeId="0" xr:uid="{083A68D8-AF2C-4BA7-97EF-A426BC783C33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U43" authorId="0" shapeId="0" xr:uid="{E776D32A-72E2-4BF6-9C64-5485DD00C1B5}">
      <text>
        <r>
          <rPr>
            <sz val="9"/>
            <color indexed="81"/>
            <rFont val="Tahoma"/>
            <family val="2"/>
          </rPr>
          <t xml:space="preserve">69 -&gt;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59 -&gt;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174 -&gt; Insert :) </t>
        </r>
      </text>
    </comment>
    <comment ref="F44" authorId="0" shapeId="0" xr:uid="{A6000050-A855-471E-BB5B-7F4D747DE17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ID(239)_x000D_
01/02/2024 | Particular bono 8 clases 2P | 180 | Pagado |_x000D_
</t>
        </r>
      </text>
    </comment>
    <comment ref="G44" authorId="0" shapeId="0" xr:uid="{05AE5446-DB4A-4CFE-9CB2-0D50D4330FF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ID(55)_x000D_
01/02/2024 | Particular bono 8 clases 2P | 180 | Pagado |_x000D_
</t>
        </r>
      </text>
    </comment>
    <comment ref="J44" authorId="0" shapeId="0" xr:uid="{687136D3-F3B6-4F00-9ADD-223B0369F6F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45" authorId="0" shapeId="0" xr:uid="{FCC11023-5BE2-446F-9BDE-E87E5072ED3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G45" authorId="0" shapeId="0" xr:uid="{BC094D49-E60F-444F-A7B3-E334FCEC65C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J45" authorId="0" shapeId="0" xr:uid="{8D65A02A-D341-46A9-B0DA-3E1E82665BA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46" authorId="0" shapeId="0" xr:uid="{77884FD3-1FB2-4B43-A449-867E3B374DE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ID(190)_x000D_
01/02/2024 | Particular bono 8 clases 1P | 304 | Pagado |_x000D_
</t>
        </r>
      </text>
    </comment>
    <comment ref="J46" authorId="0" shapeId="0" xr:uid="{EF065D7C-529B-4D1F-BD36-CF17E18B19F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47" authorId="0" shapeId="0" xr:uid="{28CFB205-B109-4B22-B4E3-B5C71CA16B2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ID(123)_x000D_
01/03/2024 | Particular bono 8 clases 1P | 304 | Pagado | _x000D_
01/05/2024 | Particular bono 8 clases 1P | 304 | PAGADO |_x000D_
</t>
        </r>
      </text>
    </comment>
    <comment ref="J47" authorId="0" shapeId="0" xr:uid="{6DC1AE33-EEC8-4C7D-9924-968F71B3698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49" authorId="0" shapeId="0" xr:uid="{A77B731B-CA92-4597-89EE-2358FCAC7DF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G49" authorId="0" shapeId="0" xr:uid="{F2BDDABC-8090-4B9D-9080-720513246643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H49" authorId="0" shapeId="0" xr:uid="{EF0B7516-0E8F-442A-BE24-80D2969BB93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J49" authorId="0" shapeId="0" xr:uid="{274E3FDF-A7F6-4A08-A1F3-586C9C30DD0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50" authorId="0" shapeId="0" xr:uid="{85E1DC34-731E-4036-AEDF-BE89A6D4A9B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ID(251)_x000D_
01/01/2024 | Particular bono 4 clases 1P | 156 | PAGADO | _x000D_
01/05/2024 | Particular bono 8 clases 1P | 304 | PAGADO |_x000D_
</t>
        </r>
      </text>
    </comment>
    <comment ref="J50" authorId="0" shapeId="0" xr:uid="{FF890A13-8D30-45A2-A478-17A9B6D2602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1" authorId="0" shapeId="0" xr:uid="{32B56034-32C0-40CC-A605-9B21D5304053}">
      <text>
        <r>
          <rPr>
            <sz val="9"/>
            <color indexed="81"/>
            <rFont val="Tahoma"/>
            <family val="2"/>
          </rPr>
          <t>_x000D_
Sin Alumnos y sin Observaciones :(</t>
        </r>
      </text>
    </comment>
    <comment ref="F52" authorId="0" shapeId="0" xr:uid="{0774A45A-D371-4425-AE5F-A4B01BDB3D4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52" authorId="0" shapeId="0" xr:uid="{5F308D9A-B2D6-41D3-A8FB-194D335BBBD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53" authorId="0" shapeId="0" xr:uid="{71EFC648-0688-45B1-9D39-6DEC13E61D6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53" authorId="0" shapeId="0" xr:uid="{CA30B77A-4F90-4ACD-A09A-C7A098877C1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53" authorId="0" shapeId="0" xr:uid="{961426EA-3E7E-49E1-9E5D-A32EECA1863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54" authorId="0" shapeId="0" xr:uid="{7906623A-3D01-4B0C-B480-BFFF3127540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J54" authorId="0" shapeId="0" xr:uid="{1F9AC285-1F15-474E-B5A6-BE459E5C686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55" authorId="0" shapeId="0" xr:uid="{BCFC5D3F-C53D-4DF9-8D59-7A6EFAE51B26}">
      <text>
        <r>
          <rPr>
            <sz val="9"/>
            <color indexed="81"/>
            <rFont val="Tahoma"/>
            <family val="2"/>
          </rPr>
          <t xml:space="preserve">69 -&gt; Insert :) </t>
        </r>
      </text>
    </comment>
    <comment ref="U56" authorId="0" shapeId="0" xr:uid="{05769A3B-D800-4DE0-B20E-37CED68F889C}">
      <text>
        <r>
          <rPr>
            <sz val="9"/>
            <color indexed="81"/>
            <rFont val="Tahoma"/>
            <family val="2"/>
          </rPr>
          <t xml:space="preserve">132 -&gt;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53 -&gt; Insert :) </t>
        </r>
      </text>
    </comment>
    <comment ref="U57" authorId="0" shapeId="0" xr:uid="{B9CCA6B0-75D2-4FA2-89EE-5B63A8686F80}">
      <text>
        <r>
          <rPr>
            <sz val="9"/>
            <color indexed="81"/>
            <rFont val="Tahoma"/>
            <family val="2"/>
          </rPr>
          <t xml:space="preserve">241 -&gt;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:) </t>
        </r>
      </text>
    </comment>
    <comment ref="F58" authorId="0" shapeId="0" xr:uid="{42DEAF97-1D82-42AE-A6D5-E7351026CF3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58" authorId="0" shapeId="0" xr:uid="{383EE91A-4FC6-43C8-8492-C5CE7E38351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9" authorId="0" shapeId="0" xr:uid="{5C5562E8-D47B-48AC-BF90-5D7BF46087F3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60" authorId="0" shapeId="0" xr:uid="{2986371C-C250-4947-8A38-90283335F02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ID(185)_x000D_
----Sin Registro de Pago----_x000D_
</t>
        </r>
      </text>
    </comment>
    <comment ref="J60" authorId="0" shapeId="0" xr:uid="{825138BF-30DA-4BC1-A122-7AB1C1FDE63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1" authorId="0" shapeId="0" xr:uid="{89C74070-D1A7-454C-9646-5F676AED663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G61" authorId="0" shapeId="0" xr:uid="{A8AF8FF0-B8DF-412C-8A5F-688EE573B28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J61" authorId="0" shapeId="0" xr:uid="{46F9E098-A33D-433D-9B6F-02BCAB2706C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2" authorId="0" shapeId="0" xr:uid="{37B2816B-0D52-4FF4-AF5D-7CD2CAC92BB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ID(174)_x000D_
01/02/2024 | Particular bono 4 clases 1P | 156 | Pagado |_x000D_
</t>
        </r>
      </text>
    </comment>
    <comment ref="J62" authorId="0" shapeId="0" xr:uid="{475AFFEB-3865-48CE-8E02-5766AFDC05C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63" authorId="0" shapeId="0" xr:uid="{DFFF5C0E-62A5-431D-BE2C-9A44D51DB164}">
      <text>
        <r>
          <rPr>
            <sz val="9"/>
            <color indexed="81"/>
            <rFont val="Tahoma"/>
            <family val="2"/>
          </rPr>
          <t xml:space="preserve">69 -&gt;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52 -&gt;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251 -&gt; Insert :) </t>
        </r>
      </text>
    </comment>
    <comment ref="U64" authorId="0" shapeId="0" xr:uid="{52A3C8EE-99BD-43EB-92B1-91AB97379D34}">
      <text>
        <r>
          <rPr>
            <sz val="9"/>
            <color indexed="81"/>
            <rFont val="Tahoma"/>
            <family val="2"/>
          </rPr>
          <t xml:space="preserve">121 -&gt; Insert :) </t>
        </r>
      </text>
    </comment>
    <comment ref="U65" authorId="0" shapeId="0" xr:uid="{46353DA4-59D1-40B4-BF62-17D4AAB21EAA}">
      <text>
        <r>
          <rPr>
            <sz val="9"/>
            <color indexed="81"/>
            <rFont val="Tahoma"/>
            <family val="2"/>
          </rPr>
          <t xml:space="preserve">125 -&gt;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118 -&gt; Insert :) </t>
        </r>
      </text>
    </comment>
    <comment ref="J66" authorId="0" shapeId="0" xr:uid="{E43B093F-68E9-4A73-AD38-6436C0998681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67" authorId="0" shapeId="0" xr:uid="{141B9515-F446-4FED-9624-D87180D857ED}">
      <text>
        <r>
          <rPr>
            <sz val="9"/>
            <color indexed="81"/>
            <rFont val="Tahoma"/>
            <family val="2"/>
          </rPr>
          <t xml:space="preserve">174 -&gt; Insert :) </t>
        </r>
      </text>
    </comment>
    <comment ref="U68" authorId="0" shapeId="0" xr:uid="{553FE5B5-52A7-4434-ACC9-EE2ECCA4F1C6}">
      <text>
        <r>
          <rPr>
            <sz val="9"/>
            <color indexed="81"/>
            <rFont val="Tahoma"/>
            <family val="2"/>
          </rPr>
          <t xml:space="preserve">69 -&gt; Insert :) </t>
        </r>
      </text>
    </comment>
    <comment ref="F69" authorId="0" shapeId="0" xr:uid="{33505D33-AF8C-463F-BCE2-053B82EC56C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ID(237)_x000D_
01/01/2024 | Particular bono 4 clases 1P | 156 | PAGADO |_x000D_
</t>
        </r>
      </text>
    </comment>
    <comment ref="J69" authorId="0" shapeId="0" xr:uid="{5CEEEFD6-8C2B-4EAE-936D-B56098EB1B4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1" authorId="0" shapeId="0" xr:uid="{C59F3CB3-B153-4F70-B130-AB6A1A4F26C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G71" authorId="0" shapeId="0" xr:uid="{249F47BC-251A-4FA7-9D6F-82EE7F77FD0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H71" authorId="0" shapeId="0" xr:uid="{5A757294-4A95-470E-B26B-65BAA833909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J71" authorId="0" shapeId="0" xr:uid="{BBA5C966-4937-4D32-92EF-5FC6B6FDF60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2" authorId="0" shapeId="0" xr:uid="{099DFE51-C5C9-4DC1-AEA1-BBC2D13DB8B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ID(120)_x000D_
----Sin Registro de Pago----_x000D_
</t>
        </r>
      </text>
    </comment>
    <comment ref="J72" authorId="0" shapeId="0" xr:uid="{E9799FE8-D8DD-43D9-9905-94C49837335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3" authorId="0" shapeId="0" xr:uid="{0C89833E-E105-4118-8B0F-BD118456F241}">
      <text>
        <r>
          <rPr>
            <sz val="9"/>
            <color indexed="81"/>
            <rFont val="Tahoma"/>
            <family val="2"/>
          </rPr>
          <t>_x000D_
Sin Alumnos y sin Observaciones :(</t>
        </r>
      </text>
    </comment>
    <comment ref="F74" authorId="0" shapeId="0" xr:uid="{D8F6A410-C3D1-49B2-A89E-E8F19815F92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74" authorId="0" shapeId="0" xr:uid="{F67AB239-8D22-4A2E-9C9E-F95C9BDC1E9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5" authorId="0" shapeId="0" xr:uid="{2009FE7E-A392-4DBF-9291-33D862BF342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75" authorId="0" shapeId="0" xr:uid="{D5EB2023-553D-4600-AA40-33D47C4F291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76" authorId="0" shapeId="0" xr:uid="{EEFF3658-9E36-4B69-B921-AC08827267D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76" authorId="0" shapeId="0" xr:uid="{3ED5A8FF-E246-4FBD-84B0-B56F6BF7E04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76" authorId="0" shapeId="0" xr:uid="{244AF18B-4393-48A2-A692-EB2690ADFDC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77" authorId="0" shapeId="0" xr:uid="{D28C80AC-5B37-433C-819C-15389FE42773}">
      <text>
        <r>
          <rPr>
            <sz val="9"/>
            <color indexed="81"/>
            <rFont val="Tahoma"/>
            <family val="2"/>
          </rPr>
          <t xml:space="preserve">53 -&gt; Insert :) </t>
        </r>
      </text>
    </comment>
    <comment ref="U78" authorId="0" shapeId="0" xr:uid="{841BD3C9-0705-4B1B-AE41-E5641ED3C5CD}">
      <text>
        <r>
          <rPr>
            <sz val="9"/>
            <color indexed="81"/>
            <rFont val="Tahoma"/>
            <family val="2"/>
          </rPr>
          <t xml:space="preserve">241 -&gt;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:) </t>
        </r>
      </text>
    </comment>
    <comment ref="F79" authorId="0" shapeId="0" xr:uid="{AA34AD98-EFD6-42C9-812D-5D528C0DA68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79" authorId="0" shapeId="0" xr:uid="{9E6EC091-630A-4BD1-80B0-388EDBA36B6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0" authorId="0" shapeId="0" xr:uid="{468C5916-3CDA-4DE8-AEAA-D375DD4CBBDC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1_x000D_
Num Alumns: 0</t>
        </r>
      </text>
    </comment>
    <comment ref="F81" authorId="0" shapeId="0" xr:uid="{3DCBFC2D-6019-4C31-8767-2CD1D5699B0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G81" authorId="0" shapeId="0" xr:uid="{F36095E8-A54E-4B63-AB09-F41BFE392923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J81" authorId="0" shapeId="0" xr:uid="{A0DB353B-9EE3-4344-B7D9-750D8BCFA37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2" authorId="0" shapeId="0" xr:uid="{F4EE0DBF-B062-412B-937E-600ACF6A9EF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ID(55)_x000D_
01/02/2024 | Particular bono 8 clases 2P | 180 | Pagado |_x000D_
</t>
        </r>
      </text>
    </comment>
    <comment ref="G82" authorId="0" shapeId="0" xr:uid="{C0BF954B-6758-44BB-AD19-3F520102C5A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ID(239)_x000D_
01/02/2024 | Particular bono 8 clases 2P | 180 | Pagado |_x000D_
</t>
        </r>
      </text>
    </comment>
    <comment ref="J82" authorId="0" shapeId="0" xr:uid="{44E4EA55-91A2-4F4E-B192-2A60586BDFE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83" authorId="0" shapeId="0" xr:uid="{68B0571B-9036-4139-B1DE-6C6B10BBB130}">
      <text>
        <r>
          <rPr>
            <sz val="9"/>
            <color indexed="81"/>
            <rFont val="Tahoma"/>
            <family val="2"/>
          </rPr>
          <t xml:space="preserve">19 -&gt;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154 -&gt; Insert :) </t>
        </r>
      </text>
    </comment>
    <comment ref="F84" authorId="0" shapeId="0" xr:uid="{4DEA29F7-2DBE-4178-8199-663A0A30046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84" authorId="0" shapeId="0" xr:uid="{15125A26-68B6-47E2-9D4A-65072599E17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5" authorId="0" shapeId="0" xr:uid="{0E533C6A-E6F3-4EB1-91C1-8DE6897407E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G85" authorId="0" shapeId="0" xr:uid="{21FA768A-5B1B-45B9-A7D6-08CE106712F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J85" authorId="0" shapeId="0" xr:uid="{7A4EE26D-E615-4023-9546-1FA0C16232D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6" authorId="0" shapeId="0" xr:uid="{1D2D981F-E732-439B-BD74-751A52CA3E1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ID(122)_x000D_
01/03/2024 | Particular bono 4 clases 1P | 156 | Pagado |_x000D_
</t>
        </r>
      </text>
    </comment>
    <comment ref="J86" authorId="0" shapeId="0" xr:uid="{0FF753FA-4761-49F0-A53F-FAD2E652387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7" authorId="0" shapeId="0" xr:uid="{085BCC69-7EEA-43CB-97C3-DD5CA9D59CDA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87" authorId="0" shapeId="0" xr:uid="{440A25FB-E667-4C9B-AB54-943E5BE1690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88" authorId="0" shapeId="0" xr:uid="{F6F14E6C-B179-4B20-B5E2-1713C96D9A7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ID(125)_x000D_
01/03/2024 | Particular bono 8 clases 2P | 180 | Pagado | _x000D_
01/07/2024 | Particular bono 8 clases 2P | 160 | PAGADO |_x000D_
</t>
        </r>
      </text>
    </comment>
    <comment ref="G88" authorId="0" shapeId="0" xr:uid="{F9BE143C-B954-4A00-941E-CEBD2CDCBC6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ID(118)_x000D_
01/03/2024 | Particular bono 8 clases 2P | 180 | Pagado | _x000D_
01/07/2024 | Particular bono 8 clases 2P | 160 | PAGADO |_x000D_
</t>
        </r>
      </text>
    </comment>
    <comment ref="J88" authorId="0" shapeId="0" xr:uid="{23F60F44-05BF-43CC-AC1A-ED5B26E35CD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9" authorId="0" shapeId="0" xr:uid="{6553FFCF-AA1F-44BD-A9E0-9C39C2A10244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90" authorId="0" shapeId="0" xr:uid="{5679BB48-1808-40C4-B03A-DF888282449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ID(9)_x000D_
----Sin Registro de Pago----_x000D_
</t>
        </r>
      </text>
    </comment>
    <comment ref="J90" authorId="0" shapeId="0" xr:uid="{1CBD4CDD-EAAF-4E58-8361-C87548B210B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1" authorId="0" shapeId="0" xr:uid="{6C926F7E-1E84-4B86-A8FF-3611A3083051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ID(55)_x000D_
01/02/2024 | Particular bono 8 clases 2P | 180 | Pagado |_x000D_
</t>
        </r>
      </text>
    </comment>
    <comment ref="G91" authorId="0" shapeId="0" xr:uid="{B965FC98-5C2A-4F5B-8140-C13ABB75075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ID(239)_x000D_
01/02/2024 | Particular bono 8 clases 2P | 180 | Pagado |_x000D_
</t>
        </r>
      </text>
    </comment>
    <comment ref="J91" authorId="0" shapeId="0" xr:uid="{E587B6E6-7C47-45DE-8819-C86DFF9DBC4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2" authorId="0" shapeId="0" xr:uid="{4D49D8D4-EB87-41ED-9402-D4DEECA53326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ID(190)_x000D_
01/02/2024 | Particular bono 8 clases 1P | 304 | Pagado |_x000D_
</t>
        </r>
      </text>
    </comment>
    <comment ref="J92" authorId="0" shapeId="0" xr:uid="{A4E1D243-42F2-4326-87D2-59A77AD8EA6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4" authorId="0" shapeId="0" xr:uid="{DD48E86D-A56A-41B3-A35A-98B0EF3C379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ID(47)_x000D_
01/01/2024 | Particular bono 8 clases 3P | 133,33 | PAGADO | _x000D_
01/01/2024 | Particular bono 4 clases 1P | 156    | PAGADO | _x000D_
01/01/2024 | Particular bono 8 clases 1P | 304    | PAGADO | _x000D_
01/05/2024 | Particular bono 8 clases 1P | 304    | PAGADO | _x000D_
01/06/2024 | Particular bono 8 clases 3P | 133,33 | PAGADO |_x000D_
</t>
        </r>
      </text>
    </comment>
    <comment ref="G94" authorId="0" shapeId="0" xr:uid="{555D0F37-235C-4C61-BE54-1548E47CC2C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H94" authorId="0" shapeId="0" xr:uid="{DAE0156A-0F85-4360-B7AE-DE7407126C0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J94" authorId="0" shapeId="0" xr:uid="{EF6A3410-46C4-46C5-80EB-5632034E5B0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5" authorId="0" shapeId="0" xr:uid="{B19EB19D-648B-4183-9679-DCF4412CEA34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96" authorId="0" shapeId="0" xr:uid="{CA2DF5C2-D456-4CEA-8EB0-362A445DC11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96" authorId="0" shapeId="0" xr:uid="{BDF7A259-8101-4352-9AB1-01203EF2B53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7" authorId="0" shapeId="0" xr:uid="{3DA0093D-771F-4695-90CF-FC3B286D9B1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97" authorId="0" shapeId="0" xr:uid="{00926966-5ECC-400B-8CD0-AAB89264469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97" authorId="0" shapeId="0" xr:uid="{06E88523-124C-4F62-A5A2-2C957D25F10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98" authorId="0" shapeId="0" xr:uid="{9818A906-889F-42B3-B62D-01EE978085E2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98" authorId="0" shapeId="0" xr:uid="{0727DFD1-1DAB-404D-B81C-AFC81CCDAEC4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F99" authorId="0" shapeId="0" xr:uid="{DCB068DD-4B06-48FC-838F-4F40D2625F8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ID(53)_x000D_
----Sin Registro de Pago----_x000D_
</t>
        </r>
      </text>
    </comment>
    <comment ref="G99" authorId="0" shapeId="0" xr:uid="{5F40843B-9D87-410C-B015-746BCF49E83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ID(132)_x000D_
01/02/2024 | Particular bono 8 clases 1P | 304 | Pagado |_x000D_
</t>
        </r>
      </text>
    </comment>
    <comment ref="J99" authorId="0" shapeId="0" xr:uid="{07D89145-BA2F-4855-8457-C522BE3C1CD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0" authorId="0" shapeId="0" xr:uid="{39219A9F-811B-4C4F-8746-8F93056F400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G100" authorId="0" shapeId="0" xr:uid="{F6A94C8D-2429-4855-A55F-63D4F18DBE0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J100" authorId="0" shapeId="0" xr:uid="{63ECF1DA-F16B-4819-B344-443DE5F4ED2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01" authorId="0" shapeId="0" xr:uid="{8B929A1F-054D-48C1-B6F2-EB9EDE6B458B}">
      <text>
        <r>
          <rPr>
            <sz val="9"/>
            <color indexed="81"/>
            <rFont val="Tahoma"/>
            <family val="2"/>
          </rPr>
          <t xml:space="preserve">241 -&gt;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:) </t>
        </r>
      </text>
    </comment>
    <comment ref="U102" authorId="0" shapeId="0" xr:uid="{861CEC6C-C08C-4F4F-B6F4-3F7467247C25}">
      <text>
        <r>
          <rPr>
            <sz val="9"/>
            <color indexed="81"/>
            <rFont val="Tahoma"/>
            <family val="2"/>
          </rPr>
          <t xml:space="preserve">38 -&gt; Insert :) </t>
        </r>
      </text>
    </comment>
    <comment ref="J103" authorId="0" shapeId="0" xr:uid="{559BF4AA-566D-4CD8-B177-B0EE7B1E1D4B}">
      <text>
        <r>
          <rPr>
            <sz val="9"/>
            <color indexed="81"/>
            <rFont val="Tahoma"/>
            <family val="2"/>
          </rPr>
          <t xml:space="preserve">COMPETICION sin Alumnos!!... mira Observaciones._x000D_
Sin Alumnos y sin Observaciones :(_x000D_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104" authorId="0" shapeId="0" xr:uid="{0A164247-FDC2-409B-BC2B-9C3C0BAAD2B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ID(127)_x000D_
01/02/2024 | Particular bono 8 clases 2P | 180 | Pagado | _x000D_
01/02/2024 | Particular bono 8 clases 2P | 180 | Pagado | _x000D_
01/02/2024 | Particular bono 4 clases 3P | 70  | Pagado |_x000D_
</t>
        </r>
      </text>
    </comment>
    <comment ref="G104" authorId="0" shapeId="0" xr:uid="{68BA3301-B9AB-4E67-AB08-ED8B28FCDCC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ID(189)_x000D_
01/02/2024 | Particular bono 8 clases 2P | 180 | Pagado | _x000D_
01/02/2024 | Particular bono 8 clases 2P | 180 | Pagado | _x000D_
01/02/2024 | Particular bono 4 clases 3P | 70  | Pagado |_x000D_
</t>
        </r>
      </text>
    </comment>
    <comment ref="J104" authorId="0" shapeId="0" xr:uid="{6F2C9565-4ADC-4F13-8D8C-4967ADC11AF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5" authorId="0" shapeId="0" xr:uid="{920F0EFA-18E8-4EFC-9BEB-13C020F3563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ID(120)_x000D_
----Sin Registro de Pago----_x000D_
</t>
        </r>
      </text>
    </comment>
    <comment ref="J105" authorId="0" shapeId="0" xr:uid="{A5A56759-D918-4D06-8F48-C80C119E6D2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6" authorId="0" shapeId="0" xr:uid="{AED882D2-434F-4668-8D9E-2CC77681340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ID(185)_x000D_
----Sin Registro de Pago----_x000D_
</t>
        </r>
      </text>
    </comment>
    <comment ref="J106" authorId="0" shapeId="0" xr:uid="{B816FA65-EC00-4E98-92FD-C4170B255E8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7" authorId="0" shapeId="0" xr:uid="{D41C2EDE-A5A0-47B4-82D3-3EB6F6BED903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ID(122)_x000D_
01/03/2024 | Particular bono 4 clases 1P | 156 | Pagado |_x000D_
</t>
        </r>
      </text>
    </comment>
    <comment ref="J107" authorId="0" shapeId="0" xr:uid="{F64855C1-B481-4F14-9F60-E695C58360D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8" authorId="0" shapeId="0" xr:uid="{14868F77-65AD-40BE-A818-F469F179B36F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ID(2)_x000D_
01/03/2024 | Particular bono 8 clases 2P | 180 | Pagado | _x000D_
01/06/2024 | Particular bono 8 clases 2P | 180 | PAGADO |_x000D_
</t>
        </r>
      </text>
    </comment>
    <comment ref="G108" authorId="0" shapeId="0" xr:uid="{FC8F9E04-473F-4AA8-83A7-FB904F035AC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ID(3)_x000D_
01/03/2024 | Particular bono 8 clases 2P | 180 | Pagado | _x000D_
01/06/2024 | Particular bono 8 clases 2P | 180 | PAGADO |_x000D_
</t>
        </r>
      </text>
    </comment>
    <comment ref="J108" authorId="0" shapeId="0" xr:uid="{68234BF0-A87E-4120-BBBC-966C2519D7C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09" authorId="0" shapeId="0" xr:uid="{3C2F6C0C-4D04-4163-9193-2EFA4B69B850}">
      <text>
        <r>
          <rPr>
            <sz val="9"/>
            <color indexed="81"/>
            <rFont val="Tahoma"/>
            <family val="2"/>
          </rPr>
          <t xml:space="preserve">154 -&gt; Insert :) </t>
        </r>
      </text>
    </comment>
    <comment ref="J110" authorId="0" shapeId="0" xr:uid="{9E66017A-33E9-4110-ADBB-964E843BBF29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1_x000D_
Num Alumns: 0</t>
        </r>
      </text>
    </comment>
    <comment ref="F112" authorId="0" shapeId="0" xr:uid="{E7FC2AAE-FC8B-4FA9-B1C7-5968A211268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112" authorId="0" shapeId="0" xr:uid="{C0D810E1-926D-40B1-B276-D4020BE1E0A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13" authorId="0" shapeId="0" xr:uid="{BEDF867C-6E12-4F3F-A7C7-BD00216FCEC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ID(118)_x000D_
01/03/2024 | Particular bono 8 clases 2P | 180 | Pagado | _x000D_
01/07/2024 | Particular bono 8 clases 2P | 160 | PAGADO |_x000D_
</t>
        </r>
      </text>
    </comment>
    <comment ref="G113" authorId="0" shapeId="0" xr:uid="{9874C441-ABDD-4163-BF05-5282CAF339D7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ID(125)_x000D_
01/03/2024 | Particular bono 8 clases 2P | 180 | Pagado | _x000D_
01/07/2024 | Particular bono 8 clases 2P | 160 | PAGADO |_x000D_
</t>
        </r>
      </text>
    </comment>
    <comment ref="J113" authorId="0" shapeId="0" xr:uid="{6126DABB-454B-4A6B-B51A-A53AFA4B22F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14" authorId="0" shapeId="0" xr:uid="{DCDE2571-1DF8-451D-814E-07B96ACD28AF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F115" authorId="0" shapeId="0" xr:uid="{6543DA46-D6DB-4F76-8556-DCA122960D04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ID(34)_x000D_
12/01/2024          | Particular bono 8 clases 1P | 33  | pagado | _x000D_
01/03/2024          | Particular bono 8 clases 2P | 180 | Pagado | _x000D_
01/03/2024          | Particular bono 8 clases 1P | 304 | Pagado | _x000D_
01/05/2024          | Particular bono 8 clases 2P | 180 | PAGADO | _x000D_
01/05/2024          | Particular bono 8 clases 1P | 304 | PAGADO | _x000D_
01/07/2024          | Particular bono 8 clases 1P | 33  | pagado | _x000D_
01/08/2024          | Particular bono 8 clases 1P | 33  |        | _x000D_
12/09/2024 23:13:14 | Particular bono 8 clases 1P | 33  |        |_x000D_
</t>
        </r>
      </text>
    </comment>
    <comment ref="J115" authorId="0" shapeId="0" xr:uid="{03313FE3-30F3-49D7-9961-2B0B593EED0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16" authorId="0" shapeId="0" xr:uid="{EF3E7521-EDBC-4B97-8EB3-C63F45C5BBBC}">
      <text>
        <r>
          <rPr>
            <sz val="9"/>
            <color indexed="81"/>
            <rFont val="Tahoma"/>
            <family val="2"/>
          </rPr>
          <t xml:space="preserve">69 -&gt; Insert :) </t>
        </r>
      </text>
    </comment>
    <comment ref="F117" authorId="0" shapeId="0" xr:uid="{9284D97E-87B6-47B4-82BD-ACB4E9C490B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ID(55)_x000D_
01/02/2024 | Particular bono 8 clases 2P | 180 | Pagado |_x000D_
</t>
        </r>
      </text>
    </comment>
    <comment ref="G117" authorId="0" shapeId="0" xr:uid="{4F84CD5A-8F7F-470E-8AFE-365312757EC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ID(239)_x000D_
01/02/2024 | Particular bono 8 clases 2P | 180 | Pagado |_x000D_
</t>
        </r>
      </text>
    </comment>
    <comment ref="J117" authorId="0" shapeId="0" xr:uid="{4564248E-C9C6-453F-AC02-CC8036BDA49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18" authorId="0" shapeId="0" xr:uid="{E966891F-BCE0-498F-903F-95E173FDAD8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ID(115)_x000D_
01/03/2024 | Particular bono 4 clases 1P | 156 | Pagado |_x000D_
</t>
        </r>
      </text>
    </comment>
    <comment ref="J118" authorId="0" shapeId="0" xr:uid="{FFB8EBB2-2D3B-447E-828A-4D0D414F28C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19" authorId="0" shapeId="0" xr:uid="{BEC38BE2-BC5B-461D-A8E7-2B20F81D5D82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ID(123)_x000D_
01/03/2024 | Particular bono 8 clases 1P | 304 | Pagado | _x000D_
01/05/2024 | Particular bono 8 clases 1P | 304 | PAGADO |_x000D_
</t>
        </r>
      </text>
    </comment>
    <comment ref="J119" authorId="0" shapeId="0" xr:uid="{49133070-51BB-4D30-B13C-F03B07EFF3D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20" authorId="0" shapeId="0" xr:uid="{A80B9BA2-7739-4774-8695-1B479118FD1B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ID(237)_x000D_
01/01/2024 | Particular bono 4 clases 1P | 156 | PAGADO |_x000D_
</t>
        </r>
      </text>
    </comment>
    <comment ref="J120" authorId="0" shapeId="0" xr:uid="{6A843288-5F59-4653-B91E-56DCB0080A9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21" authorId="0" shapeId="0" xr:uid="{98F68E2F-C5E6-4912-BF20-ED2E72F16462}">
      <text>
        <r>
          <rPr>
            <sz val="9"/>
            <color indexed="81"/>
            <rFont val="Tahoma"/>
            <family val="2"/>
          </rPr>
          <t>:: ERROR :: Concepto No Encontrado_x000D_
_x000D_
TipoProducto: TORNEO_x000D_
Num Horas: 2_x000D_
Num Alumns: 0</t>
        </r>
      </text>
    </comment>
    <comment ref="F122" authorId="0" shapeId="0" xr:uid="{A32EE1AE-1EDA-4FF6-9C09-CD21B190CF50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ID(201)_x000D_
01/01/2024 | Particular bono 8 clases 3P | 133,33 | PAGADO | _x000D_
01/04/2024 | Particular bono 8 clases 2P | 180    | PAGADO | _x000D_
01/05/2024 | Particular bono 8 clases 3P | 133,33 | PAGADO |_x000D_
</t>
        </r>
      </text>
    </comment>
    <comment ref="G122" authorId="0" shapeId="0" xr:uid="{794C2927-DB80-47B9-8B96-B70C45E8FE1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ID(195)_x000D_
01/01/2024 | Particular bono 8 clases 3P | 133,33 | PAGADO | _x000D_
01/05/2024 | Particular bono 8 clases 3P | 133,33 | PAGADO |_x000D_
</t>
        </r>
      </text>
    </comment>
    <comment ref="J122" authorId="0" shapeId="0" xr:uid="{D6A85C1E-682C-47D6-91B4-2D8666AB347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23" authorId="0" shapeId="0" xr:uid="{6FF66BEF-05B3-4592-9E94-50B3663A2A6C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ID(9)_x000D_
----Sin Registro de Pago----_x000D_
</t>
        </r>
      </text>
    </comment>
    <comment ref="J123" authorId="0" shapeId="0" xr:uid="{8C7E5F33-65C2-4F08-AB94-A773BB4BBB8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24" authorId="0" shapeId="0" xr:uid="{401DEF60-E009-4576-9948-47CCA94986B0}">
      <text>
        <r>
          <rPr>
            <sz val="9"/>
            <color indexed="81"/>
            <rFont val="Tahoma"/>
            <family val="2"/>
          </rPr>
          <t>:: ERROR :: Concepto No Encontrado_x000D_
_x000D_
TipoProducto: CAPITANIA_x000D_
Num Horas: 3_x000D_
Num Alumns: 1</t>
        </r>
      </text>
    </comment>
    <comment ref="F125" authorId="0" shapeId="0" xr:uid="{B6273744-C3F8-4647-B614-903CCE888DF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ID(121)_x000D_
01/01/2024 | Particular bono 8 clases 1P | 304 | PAGADO | _x000D_
01/02/2024 | Particular bono 8 clases 1P | 304 | Pagado | _x000D_
01/04/2024 | Particular bono 8 clases 1P | 304 | PAGADO |_x000D_
</t>
        </r>
      </text>
    </comment>
    <comment ref="J125" authorId="0" shapeId="0" xr:uid="{D5100473-73EF-44EA-9713-DF8A3856AF0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26" authorId="0" shapeId="0" xr:uid="{69656C28-B453-458F-B689-2BB23C714DA9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ID(163)_x000D_
01/01/2024 | Particular bono 4 clases 1P | 156 | PAGADO | _x000D_
01/02/2024 | Particular bono 4 clases 1P | 156 | Pagado | _x000D_
01/05/2024 | Particular bono 4 clases 1P | 156 | PAGADO | _x000D_
01/06/2024 | Particular bono 8 clases 1P | 304 | PAGADO |_x000D_
</t>
        </r>
      </text>
    </comment>
    <comment ref="J126" authorId="0" shapeId="0" xr:uid="{CE57532B-132B-475A-B7EB-7DDDB5465B6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27" authorId="0" shapeId="0" xr:uid="{4D4FCF1C-69B4-4119-8EAE-6CDDBBB916E1}">
      <text>
        <r>
          <rPr>
            <sz val="9"/>
            <color indexed="81"/>
            <rFont val="Tahoma"/>
            <family val="2"/>
          </rPr>
          <t xml:space="preserve">38 -&gt;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236 -&gt;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33 -&gt; Insert :) </t>
        </r>
      </text>
    </comment>
    <comment ref="F128" authorId="0" shapeId="0" xr:uid="{28BB35B6-20BB-4C46-8715-0A8DD7E96F58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ID(209)_x000D_
01/03/2024 | Particular bono 8 clases 2P | 180  | Pagado | _x000D_
01/06/2024 | Particular bono 4 clases 2P | 94,5 | PAGADO |_x000D_
</t>
        </r>
      </text>
    </comment>
    <comment ref="G128" authorId="0" shapeId="0" xr:uid="{0F1D39F2-4C35-403A-BA68-A74910EE3E0E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ID(167)_x000D_
01/03/2024 | Particular bono 8 clases 2P | 180  | Pagado | _x000D_
01/06/2024 | Particular bono 4 clases 2P | 94,5 | PAGADO |_x000D_
</t>
        </r>
      </text>
    </comment>
    <comment ref="J128" authorId="0" shapeId="0" xr:uid="{48356E36-041B-40A7-8C42-0DA2F795C38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129" authorId="0" shapeId="0" xr:uid="{5E38FB0C-BC80-4634-8101-61C631A493E2}">
      <text>
        <r>
          <rPr>
            <sz val="9"/>
            <color indexed="81"/>
            <rFont val="Tahoma"/>
            <family val="2"/>
          </rPr>
          <t xml:space="preserve">132 -&gt;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53 -&gt; Insert :) </t>
        </r>
      </text>
    </comment>
    <comment ref="U130" authorId="0" shapeId="0" xr:uid="{E81716B5-FDF9-4FB4-988C-7B196CFEAC27}">
      <text>
        <r>
          <rPr>
            <sz val="9"/>
            <color indexed="81"/>
            <rFont val="Tahoma"/>
            <family val="2"/>
          </rPr>
          <t xml:space="preserve">241 -&gt;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137 -&gt; Insert :) </t>
        </r>
      </text>
    </comment>
    <comment ref="U131" authorId="0" shapeId="0" xr:uid="{6BBFDBCF-27CB-4760-96F4-83ADA936C193}">
      <text>
        <r>
          <rPr>
            <sz val="9"/>
            <color indexed="81"/>
            <rFont val="Tahoma"/>
            <family val="2"/>
          </rPr>
          <t xml:space="preserve">45 -&gt;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14 -&gt;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20 -&gt; Insert :) </t>
        </r>
      </text>
    </comment>
    <comment ref="U132" authorId="0" shapeId="0" xr:uid="{F8761A7F-F906-497C-B6CD-BDAA3F15F1D7}">
      <text>
        <r>
          <rPr>
            <sz val="9"/>
            <color indexed="81"/>
            <rFont val="Tahoma"/>
            <family val="2"/>
          </rPr>
          <t xml:space="preserve">124 -&gt;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60 -&gt;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147 -&gt; Insert :) _x000D_
</t>
        </r>
        <r>
          <rPr>
            <b/>
            <sz val="9"/>
            <color indexed="81"/>
            <rFont val="Tahoma"/>
            <family val="2"/>
          </rPr>
          <t>--- next ---</t>
        </r>
        <r>
          <rPr>
            <sz val="9"/>
            <color indexed="81"/>
            <rFont val="Tahoma"/>
            <family val="2"/>
          </rPr>
          <t xml:space="preserve">_x000D_
101 -&gt; Insert :) </t>
        </r>
      </text>
    </comment>
    <comment ref="F133" authorId="0" shapeId="0" xr:uid="{81CE3102-28A0-49D8-9E23-CB873517D6B5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ID(38)_x000D_
01/01/2024 | Particular bono 8 clases 1P | 304 | PAGADO | _x000D_
01/03/2024 | Particular bono 8 clases 1P | 304 | Pagado |_x000D_
</t>
        </r>
      </text>
    </comment>
    <comment ref="J133" authorId="0" shapeId="0" xr:uid="{1652CABF-6B89-4CF2-8E3D-A48005179A6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34" authorId="0" shapeId="0" xr:uid="{FA6BB21A-FEA4-464F-A768-44FE3B79AA6C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134" authorId="0" shapeId="0" xr:uid="{C0BD3B88-DBF6-4C84-8158-EB91A26B196C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U135" authorId="0" shapeId="0" xr:uid="{D7112172-FD75-4590-A604-3DF5E2DBA7D8}">
      <text>
        <r>
          <rPr>
            <sz val="9"/>
            <color indexed="81"/>
            <rFont val="Tahoma"/>
            <family val="2"/>
          </rPr>
          <t xml:space="preserve">94 -&gt; Insert :) </t>
        </r>
      </text>
    </comment>
    <comment ref="J136" authorId="0" shapeId="0" xr:uid="{387E1323-DE19-4DCE-A355-234845D48511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J137" authorId="0" shapeId="0" xr:uid="{E7FF772E-65CD-4298-B57D-72AE541613F3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J25" authorId="0" shapeId="0" xr:uid="{1827B572-4C2B-4A7F-AF77-006650C0CB35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1_x000D_
Num Alumns: 2</t>
        </r>
      </text>
    </comment>
    <comment ref="U26" authorId="0" shapeId="0" xr:uid="{5E12435D-53B6-41DA-B144-6AD884E9627A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F27" authorId="0" shapeId="0" xr:uid="{0F5D0183-5E15-42EA-9F68-3B1CA8586956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27" authorId="0" shapeId="0" xr:uid="{09790712-A3E7-45F5-817C-DF9B36BA76AC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K27" authorId="0" shapeId="0" xr:uid="{40CB4DC6-8598-4456-B562-EEBB0BE06B35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28" authorId="0" shapeId="0" xr:uid="{4D0FB6DC-EFE0-4037-B938-50E56D47DDD7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K28" authorId="0" shapeId="0" xr:uid="{E394507A-00B8-46D6-8FBC-A59E74CBFFA3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29" authorId="0" shapeId="0" xr:uid="{E385B19A-221E-4669-94A7-46A0F888ACAD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K29" authorId="0" shapeId="0" xr:uid="{1D2F1C56-9A28-45A2-95E5-1DC22EFF558D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30" authorId="0" shapeId="0" xr:uid="{54AA62E0-2E5A-45CA-86D5-A19592001A3C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K30" authorId="0" shapeId="0" xr:uid="{EEA06C17-8941-4C5F-BCE5-604D78446F87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31" authorId="0" shapeId="0" xr:uid="{32D276A2-019F-48F4-A4B5-470DC14297BD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K31" authorId="0" shapeId="0" xr:uid="{2E93D907-F528-4934-BC36-0D79DA4A10F2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32" authorId="0" shapeId="0" xr:uid="{86824258-E0F6-4B0D-A9D1-31FC81D0A64F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K32" authorId="0" shapeId="0" xr:uid="{59326813-E138-4171-8854-F58D01EB79A9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33" authorId="0" shapeId="0" xr:uid="{C0B6ED9E-390F-4030-B90B-591E6429CC19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1,5_x000D_
Num Alumns: 1</t>
        </r>
      </text>
    </comment>
    <comment ref="K33" authorId="0" shapeId="0" xr:uid="{2BF46B1B-2541-4932-A517-E13420976DB4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F34" authorId="0" shapeId="0" xr:uid="{88D78CBD-026B-400F-9D91-4CC20544DB0F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34" authorId="0" shapeId="0" xr:uid="{DACFEB30-D312-4B35-A25C-EB43C83EA8E3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K34" authorId="0" shapeId="0" xr:uid="{11A328FB-FA0E-404F-95F1-A11707853C39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U35" authorId="0" shapeId="0" xr:uid="{BD211C23-7B4E-4CD9-AA06-A40444CAA790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36" authorId="0" shapeId="0" xr:uid="{29C7CCFC-CA97-4CBB-AE58-7AB06FFF2B08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37" authorId="0" shapeId="0" xr:uid="{F16A8977-80E0-47A1-9526-F58F57DB70F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38" authorId="0" shapeId="0" xr:uid="{78689FC9-7AB7-4552-B3C6-117F4871462D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39" authorId="0" shapeId="0" xr:uid="{517A9C27-AD36-4D8C-8435-6ABDA7DBC6E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0" authorId="0" shapeId="0" xr:uid="{753BDE00-A816-4A05-B9BF-9015518675D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1" authorId="0" shapeId="0" xr:uid="{9827A1BF-6289-45F2-A800-FA810CE4E17B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42" authorId="0" shapeId="0" xr:uid="{C2C6CDED-7F09-44FE-A153-2ECD893962B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3" authorId="0" shapeId="0" xr:uid="{89CCD67F-7E45-42EE-9E87-F7FB2D44910A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4" authorId="0" shapeId="0" xr:uid="{994866DB-55ED-4F2E-BE8B-3670924425E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45" authorId="0" shapeId="0" xr:uid="{C18155AF-CA66-43EF-A00B-FAC27A386993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U46" authorId="0" shapeId="0" xr:uid="{34FB0F95-1190-47F2-A6E1-FD88E26C091E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47" authorId="0" shapeId="0" xr:uid="{CEB133A9-9228-47ED-BE1F-17FE59D0F58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48" authorId="0" shapeId="0" xr:uid="{5AD0F481-07CB-49AB-99E5-082EDC416854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U49" authorId="0" shapeId="0" xr:uid="{97647929-5148-4120-B0DC-9D1207DA7AE0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F50" authorId="0" shapeId="0" xr:uid="{C3C391AE-6C83-423E-B95C-3D31DB1FC1D8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I50" authorId="0" shapeId="0" xr:uid="{603A5F4F-4F70-4D7B-90B9-62D60B6AA920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50" authorId="0" shapeId="0" xr:uid="{5EC19552-3A6F-4184-BF8A-FB78EFE30C25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2</t>
        </r>
      </text>
    </comment>
    <comment ref="F51" authorId="0" shapeId="0" xr:uid="{03D6F923-CA4A-4929-B94D-F95127AF6C02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51" authorId="0" shapeId="0" xr:uid="{D0B814C9-FACC-4A17-A7F2-E827F2355DBA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J52" authorId="0" shapeId="0" xr:uid="{34C15524-E4E8-4C4A-B3A0-2FB9B799248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3" authorId="0" shapeId="0" xr:uid="{6D6D0BD3-C94F-4A9A-9DA6-4EB091CC363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4" authorId="0" shapeId="0" xr:uid="{82DC61D0-C7DD-47C0-85F1-1B7A66D285B9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55" authorId="0" shapeId="0" xr:uid="{E0F4CA94-5FDE-4334-9E72-9746796BECA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6" authorId="0" shapeId="0" xr:uid="{CDD174F4-BA04-4A68-ABF3-F2957188FEBA}">
      <text>
        <r>
          <rPr>
            <sz val="9"/>
            <color indexed="81"/>
            <rFont val="Tahoma"/>
            <family val="2"/>
          </rPr>
          <t xml:space="preserve">COMPETICION sin Alumnos!!... mira Observaciones._x000D_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>_x000D_
:: ERROR :: Concepto No Encontrado_x000D_
_x000D_
TipoProducto: COMPETICION_x000D_
Num Horas: 1,5_x000D_
Num Alumns: 0</t>
        </r>
      </text>
    </comment>
    <comment ref="J57" authorId="0" shapeId="0" xr:uid="{2FC3DE83-7F59-42D2-A985-8B9B4DBDDA0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59" authorId="0" shapeId="0" xr:uid="{D4A398CB-C2F2-4A90-B8FF-DD588AB3092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0" authorId="0" shapeId="0" xr:uid="{9C0450AC-C282-49DE-B238-5D37B502DCC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1" authorId="0" shapeId="0" xr:uid="{DCA42361-9ADF-4A62-8094-5C4AE650F28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2" authorId="0" shapeId="0" xr:uid="{660CD1E2-7D4E-47BA-9E6C-FB6F66042642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63" authorId="0" shapeId="0" xr:uid="{A9C51B12-5A8F-4326-8D0E-7C3C51E6F7BC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63" authorId="0" shapeId="0" xr:uid="{DE037151-B1D9-4655-B0D5-36AE4E30B1D1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L63" authorId="0" shapeId="0" xr:uid="{45434324-3736-4E42-B1C7-A3F24D1BAFAD}">
      <text>
        <r>
          <rPr>
            <b/>
            <sz val="9"/>
            <color indexed="81"/>
            <rFont val="Tahoma"/>
            <family val="2"/>
          </rPr>
          <t>FechaPago   | Concept | Precio | Cuota | ESTADO | TipoEvento</t>
        </r>
        <r>
          <rPr>
            <sz val="9"/>
            <color indexed="81"/>
            <rFont val="Tahoma"/>
            <family val="2"/>
          </rPr>
          <t xml:space="preserve"> | ID(279)_x000D_
----Sin Registro de Pago----_x000D_
</t>
        </r>
      </text>
    </comment>
    <comment ref="U64" authorId="0" shapeId="0" xr:uid="{D3C0EB46-606E-49FD-8328-677716ABE592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U65" authorId="0" shapeId="0" xr:uid="{3F39A276-0881-46CC-B355-A243D26198FC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U66" authorId="0" shapeId="0" xr:uid="{7DD82926-198B-4E2B-8771-68987239CE06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67" authorId="0" shapeId="0" xr:uid="{BEB5B039-F2EB-415A-B373-639CCF4AAD38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68" authorId="0" shapeId="0" xr:uid="{A7073927-2B60-4A48-A299-C65F6F8BEB06}">
      <text>
        <r>
          <rPr>
            <sz val="9"/>
            <color indexed="81"/>
            <rFont val="Tahoma"/>
            <family val="2"/>
          </rPr>
          <t>:: ERROR :: Concepto No Encontrado_x000D_
_x000D_
TipoProducto: COMPETICION_x000D_
Num Horas: 1,5_x000D_
Num Alumns: 2</t>
        </r>
      </text>
    </comment>
    <comment ref="U69" authorId="0" shapeId="0" xr:uid="{4E50108C-F5B1-46D8-8A0F-3E17C4B12BF2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F70" authorId="0" shapeId="0" xr:uid="{2352AFFF-FBE9-43C3-AC55-77FC7DC9B72A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70" authorId="0" shapeId="0" xr:uid="{0CF10774-404F-42F1-9FE4-E281941448D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71" authorId="0" shapeId="0" xr:uid="{8B654CF6-0D41-48D5-9828-1778F8D1B9CF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72" authorId="0" shapeId="0" xr:uid="{E61C4375-0E0D-44DD-A14E-8DFF7D351A25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73" authorId="0" shapeId="0" xr:uid="{C2BA563D-142B-434D-A0EC-38A7833D5744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F74" authorId="0" shapeId="0" xr:uid="{25A701B8-B9E6-4E3D-9089-F169155AD4C8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74" authorId="0" shapeId="0" xr:uid="{4833D982-5B50-4963-9D5D-1DFE8F692CF2}">
      <text>
        <r>
          <rPr>
            <sz val="9"/>
            <color indexed="81"/>
            <rFont val="Tahoma"/>
            <family val="2"/>
          </rPr>
          <t>:: ERROR :: Concepto No Encontrado_x000D_
_x000D_
TipoProducto: XCOMPETICION_x000D_
Num Horas: 1,5_x000D_
Num Alumns: 1</t>
        </r>
      </text>
    </comment>
    <comment ref="U75" authorId="0" shapeId="0" xr:uid="{EACB3D63-68D9-44E0-A072-5D242FF3B3F1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U76" authorId="0" shapeId="0" xr:uid="{B203E60E-7AF2-47BA-8863-1CD695D00C05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77" authorId="0" shapeId="0" xr:uid="{FB803405-F46A-43FD-A924-3DBCA2876E3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79" authorId="0" shapeId="0" xr:uid="{474ABBEF-806F-499C-A7BB-2BCE09FCDDE4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0" authorId="0" shapeId="0" xr:uid="{F5252B0A-2F70-44D7-B1FC-C8B5A0EB2ABF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2" authorId="0" shapeId="0" xr:uid="{1DF0EB6C-35FD-4E65-AFE9-EFFE21D897B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3" authorId="0" shapeId="0" xr:uid="{2D5548AB-651D-4217-B067-0E11478CC8E0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4" authorId="0" shapeId="0" xr:uid="{C00C1228-DFA1-4FE6-B2F3-44CF0BBFFDDB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85" authorId="0" shapeId="0" xr:uid="{D64F5A10-A38F-441B-8682-7CEF34DF6965}">
      <text>
        <r>
          <rPr>
            <sz val="9"/>
            <color indexed="81"/>
            <rFont val="Tahoma"/>
            <family val="2"/>
          </rPr>
          <t>:: ERROR :: Concepto No Encontrado_x000D_
_x000D_
TipoProducto: _x000D_
Num Horas: 1_x000D_
Num Alumns: 3</t>
        </r>
      </text>
    </comment>
    <comment ref="U86" authorId="0" shapeId="0" xr:uid="{2321098C-2B15-45C3-9A96-35CED909A29E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F87" authorId="0" shapeId="0" xr:uid="{14B49D1B-70EB-4BA4-A289-7CB9A3717C3C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87" authorId="0" shapeId="0" xr:uid="{D7EF054E-5465-4DED-B5B8-89BA8B84E894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G88" authorId="0" shapeId="0" xr:uid="{4C392A0F-CE48-4CFA-9C1D-D539C883E3B3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88" authorId="0" shapeId="0" xr:uid="{2A76F464-B180-462E-88B4-9544101DC6C6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89" authorId="0" shapeId="0" xr:uid="{6874B454-1A90-46D7-AF1A-76884A42C006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90" authorId="0" shapeId="0" xr:uid="{16E471DF-6665-4634-A730-963AAB8C9B9C}">
      <text>
        <r>
          <rPr>
            <sz val="9"/>
            <color indexed="81"/>
            <rFont val="Tahoma"/>
            <family val="2"/>
          </rPr>
          <t>:: ERROR :: Concepto No Encontrado_x000D_
_x000D_
TipoProducto: BONO4_x000D_
Num Horas: 2_x000D_
Num Alumns: 3</t>
        </r>
      </text>
    </comment>
    <comment ref="U91" authorId="0" shapeId="0" xr:uid="{34446BCA-E881-4B49-B010-78A20EE50800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F92" authorId="0" shapeId="0" xr:uid="{3EC3D10F-7971-4FBD-8CBD-5C44C423CA3A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92" authorId="0" shapeId="0" xr:uid="{835CC0D3-303E-44EF-8057-3D9EA07578DB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1,5_x000D_
Num Alumns: 1</t>
        </r>
      </text>
    </comment>
    <comment ref="J93" authorId="0" shapeId="0" xr:uid="{887FA616-6FF1-4EAF-AEE2-44520D4E316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U94" authorId="0" shapeId="0" xr:uid="{09C6CA51-9665-4691-A662-565505596B69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95" authorId="0" shapeId="0" xr:uid="{F11DE509-DB4B-40E3-B4BB-E6B3650D4AAE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6" authorId="0" shapeId="0" xr:uid="{64E859D4-A86B-4BFF-BB16-066B049FC1F9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8" authorId="0" shapeId="0" xr:uid="{9151D9D0-DE51-43CA-BFA8-5A6D97E95B1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99" authorId="0" shapeId="0" xr:uid="{5013BA38-4899-417A-9C9B-82486AB5977C}">
      <text>
        <r>
          <rPr>
            <sz val="9"/>
            <color indexed="81"/>
            <rFont val="Tahoma"/>
            <family val="2"/>
          </rPr>
          <t>:: ERROR :: Concepto No Encontrado_x000D_
_x000D_
TipoProducto: PARTICULAR_x000D_
Num Horas: 1,5_x000D_
Num Alumns: 1</t>
        </r>
      </text>
    </comment>
    <comment ref="J101" authorId="0" shapeId="0" xr:uid="{1BA04B47-27EB-420A-B883-2B884B7CFD1C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2" authorId="0" shapeId="0" xr:uid="{C4999681-E6C3-4E38-A796-858CF5E977E3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3" authorId="0" shapeId="0" xr:uid="{2A9056A5-6B12-41DD-B339-3C96532B1BAD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J104" authorId="0" shapeId="0" xr:uid="{FFAA0691-37DE-4155-A76C-04EC614D1487}">
      <text>
        <r>
          <rPr>
            <sz val="9"/>
            <color indexed="81"/>
            <rFont val="Tahoma"/>
            <family val="2"/>
          </rPr>
          <t>BONO4 o BONO8_x000D_
Activa 'Datos Bono' para ver los Comentarios Sobre Cada Alumno ;)</t>
        </r>
      </text>
    </comment>
    <comment ref="F105" authorId="0" shapeId="0" xr:uid="{4F5C3D46-8954-4684-9BB6-0C7F00F4CD9E}">
      <text>
        <r>
          <rPr>
            <sz val="9"/>
            <color indexed="81"/>
            <rFont val="Tahoma"/>
            <family val="2"/>
          </rPr>
          <t>No se encuentra en la Base de Datos</t>
        </r>
      </text>
    </comment>
    <comment ref="J105" authorId="0" shapeId="0" xr:uid="{8235233C-D4A5-4AED-8CAE-4B7F9C6D864D}">
      <text>
        <r>
          <rPr>
            <sz val="9"/>
            <color indexed="81"/>
            <rFont val="Tahoma"/>
            <family val="2"/>
          </rPr>
          <t>:: ERROR :: Concepto No Encontrado_x000D_
_x000D_
TipoProducto: XCOMPETICIONX_x000D_
Num Horas: 1_x000D_
Num Alumns: 1</t>
        </r>
      </text>
    </comment>
    <comment ref="U106" authorId="0" shapeId="0" xr:uid="{F8C3F321-1367-4F14-BB73-EE887CDDD4F2}">
      <text>
        <r>
          <rPr>
            <sz val="9"/>
            <color indexed="81"/>
            <rFont val="Tahoma"/>
            <family val="2"/>
          </rPr>
          <t xml:space="preserve">YA INSERTADO!!_x000D_
</t>
        </r>
        <r>
          <rPr>
            <b/>
            <sz val="9"/>
            <color indexed="81"/>
            <rFont val="Tahoma"/>
            <family val="2"/>
          </rPr>
          <t>--- next comment ---</t>
        </r>
        <r>
          <rPr>
            <sz val="9"/>
            <color indexed="81"/>
            <rFont val="Tahoma"/>
            <family val="2"/>
          </rPr>
          <t xml:space="preserve">_x000D_
Insert :( </t>
        </r>
      </text>
    </comment>
    <comment ref="J107" authorId="0" shapeId="0" xr:uid="{87CCFA0F-25B5-4829-A12A-6B51AAC0F218}">
      <text>
        <r>
          <rPr>
            <sz val="9"/>
            <color indexed="81"/>
            <rFont val="Tahoma"/>
            <family val="2"/>
          </rPr>
          <t>:: ERROR :: Concepto No Encontrado_x000D_
_x000D_
TipoProducto: COMPETICION_x000D_
Num Horas: 1_x000D_
Num Alumns: 1</t>
        </r>
      </text>
    </comment>
    <comment ref="J108" authorId="0" shapeId="0" xr:uid="{8E60CA68-008B-4258-AA81-037313565FE3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1_x000D_
Num Alumns: 1</t>
        </r>
      </text>
    </comment>
    <comment ref="J109" authorId="0" shapeId="0" xr:uid="{8A9060B1-65F0-485F-BE20-ACA6C3148D98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1_x000D_
Num Alumns: 1</t>
        </r>
      </text>
    </comment>
    <comment ref="J110" authorId="0" shapeId="0" xr:uid="{AA1610A5-B870-401E-B34A-B9E4A73366C8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1_x000D_
Num Alumns: 1</t>
        </r>
      </text>
    </comment>
    <comment ref="J111" authorId="0" shapeId="0" xr:uid="{87701F9D-7F7D-4CDF-BC58-123F5EF89DC3}">
      <text>
        <r>
          <rPr>
            <sz val="9"/>
            <color indexed="81"/>
            <rFont val="Tahoma"/>
            <family val="2"/>
          </rPr>
          <t>:: ERROR :: Concepto No Encontrado_x000D_
_x000D_
TipoProducto: COMPETICIONX_x000D_
Num Horas: 1_x000D_
Num Alumns: 1</t>
        </r>
      </text>
    </comment>
  </commentList>
</comments>
</file>

<file path=xl/sharedStrings.xml><?xml version="1.0" encoding="utf-8"?>
<sst xmlns="http://schemas.openxmlformats.org/spreadsheetml/2006/main" count="3796" uniqueCount="299">
  <si>
    <t>MONITOR</t>
  </si>
  <si>
    <t>ALVARO</t>
  </si>
  <si>
    <t>MES</t>
  </si>
  <si>
    <t>TIPO</t>
  </si>
  <si>
    <t>ESTADO</t>
  </si>
  <si>
    <t>17:30</t>
  </si>
  <si>
    <t>18:30</t>
  </si>
  <si>
    <t>ESCUELA</t>
  </si>
  <si>
    <t>CLASE COMPLETADA</t>
  </si>
  <si>
    <t>16:00</t>
  </si>
  <si>
    <t>17:00</t>
  </si>
  <si>
    <t>19:00</t>
  </si>
  <si>
    <t>22:00</t>
  </si>
  <si>
    <t>12:00</t>
  </si>
  <si>
    <t>13:30</t>
  </si>
  <si>
    <t>BONO</t>
  </si>
  <si>
    <t>20:00</t>
  </si>
  <si>
    <t>23:00</t>
  </si>
  <si>
    <t>CAPITANÍA</t>
  </si>
  <si>
    <t>15:00</t>
  </si>
  <si>
    <t>18:00</t>
  </si>
  <si>
    <t>PARTICULAR</t>
  </si>
  <si>
    <t>19:30</t>
  </si>
  <si>
    <t>21:00</t>
  </si>
  <si>
    <t>13:00</t>
  </si>
  <si>
    <t>14:00</t>
  </si>
  <si>
    <t>15:30</t>
  </si>
  <si>
    <t>20:30</t>
  </si>
  <si>
    <t>TORNEO</t>
  </si>
  <si>
    <t>FEBRERO</t>
  </si>
  <si>
    <t>Control + Q para iniciar la plicacion</t>
  </si>
  <si>
    <t xml:space="preserve">Verificar Monitor, mes y año. </t>
  </si>
  <si>
    <t>Load Data</t>
  </si>
  <si>
    <t>Format Head</t>
  </si>
  <si>
    <t>Ocult Head</t>
  </si>
  <si>
    <t>Formato Celdas Creadas</t>
  </si>
  <si>
    <t>Fecha</t>
  </si>
  <si>
    <t>Concept</t>
  </si>
  <si>
    <t>Id's</t>
  </si>
  <si>
    <t>Importar Hojas</t>
  </si>
  <si>
    <t>Insert BDatos</t>
  </si>
  <si>
    <t>boton verde pequeño</t>
  </si>
  <si>
    <t>boton color Salmon Pequeño</t>
  </si>
  <si>
    <t>cambiar de base de datos</t>
  </si>
  <si>
    <t>Minimiza / Maximizar Formulario</t>
  </si>
  <si>
    <t>Importa Hojas de otros Excel</t>
  </si>
  <si>
    <t xml:space="preserve">Formatea Los encabezados de la Tabla para poder trabajar, quita espacios, acentos etc </t>
  </si>
  <si>
    <t xml:space="preserve">Oculta las columnas inutiles de la Tabla </t>
  </si>
  <si>
    <t>Da formato sólo a las celdas que se crean con el formulario. El formulario original no se cambia en ningún caso.</t>
  </si>
  <si>
    <t>Swap Columnas Creadas de Fecha</t>
  </si>
  <si>
    <t>Swap Columnas Creadas de Concepto de Clase</t>
  </si>
  <si>
    <t>Swap Columnas Creadas de Id's de Clientes.</t>
  </si>
  <si>
    <t>Boton para CREAR los datos (hay que hacer esto antes de Insertarlos.)</t>
  </si>
  <si>
    <t>insertar todos los registros que tengan en la Columna Creada  &lt;OK_BD&gt; sin el color Rojo.</t>
  </si>
  <si>
    <t>Cambios en los datos para que el botón &lt;OK_BD&gt; no esté en color Rojo</t>
  </si>
  <si>
    <t>Insert Bdatos</t>
  </si>
  <si>
    <t>BOTONES</t>
  </si>
  <si>
    <t>COMO ACTUAR</t>
  </si>
  <si>
    <t>1.</t>
  </si>
  <si>
    <t>2.</t>
  </si>
  <si>
    <t>3.</t>
  </si>
  <si>
    <t>4.</t>
  </si>
  <si>
    <t>5.</t>
  </si>
  <si>
    <t>Puedes Trabajar en todas la Hojas  Excel mientras tienes abierto el Formulario de Control de Clases / Monitores, con lo que puedes Trabajar en todos los meses sin tener que Abrir / Cerrar el Formulario.</t>
  </si>
  <si>
    <t>MAYO</t>
  </si>
  <si>
    <t>COMPETICIÓN</t>
  </si>
  <si>
    <t>14:30</t>
  </si>
  <si>
    <t>NO PRESENTADO</t>
  </si>
  <si>
    <t>21:30</t>
  </si>
  <si>
    <t>12:30</t>
  </si>
  <si>
    <t>16:30</t>
  </si>
  <si>
    <t>ABRIL</t>
  </si>
  <si>
    <t>11:00</t>
  </si>
  <si>
    <t>DÍA</t>
  </si>
  <si>
    <t>HORAS</t>
  </si>
  <si>
    <t>DURACIÓN</t>
  </si>
  <si>
    <t>SESIÓN</t>
  </si>
  <si>
    <t>ALBU</t>
  </si>
  <si>
    <t>ENERO</t>
  </si>
  <si>
    <t>9:00</t>
  </si>
  <si>
    <t>1/4</t>
  </si>
  <si>
    <t>9:30</t>
  </si>
  <si>
    <t>1.5/4</t>
  </si>
  <si>
    <t>NACHO</t>
  </si>
  <si>
    <t>MARZO</t>
  </si>
  <si>
    <t>10:00</t>
  </si>
  <si>
    <t>INFANTIL</t>
  </si>
  <si>
    <t>2/4</t>
  </si>
  <si>
    <t>LILLO</t>
  </si>
  <si>
    <t>10:30</t>
  </si>
  <si>
    <t>2.5/4</t>
  </si>
  <si>
    <t>3/4</t>
  </si>
  <si>
    <t>JUNIO</t>
  </si>
  <si>
    <t>11:30</t>
  </si>
  <si>
    <t>3.5/4</t>
  </si>
  <si>
    <t>JULIO</t>
  </si>
  <si>
    <t>CLASE-PARTIDO</t>
  </si>
  <si>
    <t>4/4</t>
  </si>
  <si>
    <t>AGOSTO</t>
  </si>
  <si>
    <t>1/8</t>
  </si>
  <si>
    <t>SEPTIEMBRE</t>
  </si>
  <si>
    <t>1.5/8</t>
  </si>
  <si>
    <t>OCTUBRE</t>
  </si>
  <si>
    <t>2/8</t>
  </si>
  <si>
    <t>NOVIEMBRE</t>
  </si>
  <si>
    <t>2.5/8</t>
  </si>
  <si>
    <t>DICIEMBRE</t>
  </si>
  <si>
    <t>3/8</t>
  </si>
  <si>
    <t>3.5/8</t>
  </si>
  <si>
    <t>4/8</t>
  </si>
  <si>
    <t>4.5/8</t>
  </si>
  <si>
    <t>5/8</t>
  </si>
  <si>
    <t>5.5/8</t>
  </si>
  <si>
    <t>6/8</t>
  </si>
  <si>
    <t>6.5/8</t>
  </si>
  <si>
    <t>7/8</t>
  </si>
  <si>
    <t>7.5/8</t>
  </si>
  <si>
    <t>8/8</t>
  </si>
  <si>
    <t>22:30</t>
  </si>
  <si>
    <t>23:30</t>
  </si>
  <si>
    <t>00:00</t>
  </si>
  <si>
    <t>8:00</t>
  </si>
  <si>
    <t>8:30</t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</si>
  <si>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ESCUELA</t>
    </r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</si>
  <si>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BONO</t>
    </r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</si>
  <si>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INFANTIL</t>
    </r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</si>
  <si>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CAPITANÍA</t>
    </r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</si>
  <si>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PARTICULAR</t>
    </r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</si>
  <si>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TORNEO</t>
    </r>
  </si>
  <si>
    <t xml:space="preserve"> </t>
  </si>
  <si>
    <r>
      <rPr>
        <sz val="8"/>
        <color theme="0"/>
        <rFont val="Verdana"/>
        <family val="2"/>
      </rPr>
      <t xml:space="preserve">HORAS </t>
    </r>
    <r>
      <rPr>
        <b/>
        <sz val="8"/>
        <color theme="0"/>
        <rFont val="Verdana"/>
        <family val="2"/>
      </rPr>
      <t>COMPETICIÓN</t>
    </r>
  </si>
  <si>
    <r>
      <t xml:space="preserve">HORAS </t>
    </r>
    <r>
      <rPr>
        <b/>
        <sz val="8"/>
        <color theme="0"/>
        <rFont val="Verdana"/>
        <family val="2"/>
      </rPr>
      <t>CLASE-PARTIDO</t>
    </r>
  </si>
  <si>
    <t>INICIO</t>
  </si>
  <si>
    <t>FIN</t>
  </si>
  <si>
    <t>ALUMNO 1</t>
  </si>
  <si>
    <t>ALUMNO 2</t>
  </si>
  <si>
    <t>ALUMNO 3</t>
  </si>
  <si>
    <t>ALUMNO 4</t>
  </si>
  <si>
    <t>OBSERVACIONES</t>
  </si>
  <si>
    <t>CAMPAMENTO</t>
  </si>
  <si>
    <t>BEATRIZ VILLAESCUSA MANRIQUE</t>
  </si>
  <si>
    <t>CRISTINA  SAINZ STUYCK</t>
  </si>
  <si>
    <t>ELENA HINOJOSA</t>
  </si>
  <si>
    <t>FRANCISCO CASAS ALTUNA</t>
  </si>
  <si>
    <t>DANIEL ARIGITA PARGA</t>
  </si>
  <si>
    <t>JORGE  ENCISO</t>
  </si>
  <si>
    <t>ERNESTO PLEVISANI</t>
  </si>
  <si>
    <t>ALFONSO CORTINA COPPEE</t>
  </si>
  <si>
    <t>VETERANOS B Y C</t>
  </si>
  <si>
    <t>FRANCISCO JAVIER SASTRE MUNARRIZ</t>
  </si>
  <si>
    <t>GONZALO  PINA APARICIO</t>
  </si>
  <si>
    <t>IGNACIO GIL GARCÍA</t>
  </si>
  <si>
    <t>JAIME GIL GARCÍA</t>
  </si>
  <si>
    <t>JORGE GIL GARCÍA</t>
  </si>
  <si>
    <t>JAVIER  CASAS</t>
  </si>
  <si>
    <t>ID</t>
  </si>
  <si>
    <t>DIAMES</t>
  </si>
  <si>
    <t>NUMHORAS</t>
  </si>
  <si>
    <t>EQUIPO B FEM</t>
  </si>
  <si>
    <t>ÁLVARO PAZOS</t>
  </si>
  <si>
    <t>ANILDA R. RODRIGUEZ SALOM</t>
  </si>
  <si>
    <t>MARIA LUISA CARAVANTES MARTIN</t>
  </si>
  <si>
    <t>MARÍA DEL MAR GARCÍA MARTINEZ</t>
  </si>
  <si>
    <t>ANA COTONER GOYENECHE</t>
  </si>
  <si>
    <t>EQUIPO C FEM</t>
  </si>
  <si>
    <t>FRANCISCO MARTINEZ LOPEZ</t>
  </si>
  <si>
    <t>MANUEL  ECHENIQUE SANJURJO</t>
  </si>
  <si>
    <t>BELTRÁN LÓPEZ-HENARES FITERA</t>
  </si>
  <si>
    <t>DANIELA SASIAMBARRENA</t>
  </si>
  <si>
    <t>CARLOTA GÓMEZ-PINEDA</t>
  </si>
  <si>
    <t>MARTA GAVIRIA</t>
  </si>
  <si>
    <t>JORGE SAENZ-AZCÚNAGA GAVIRIA</t>
  </si>
  <si>
    <t>ROBERTO POCATERRA</t>
  </si>
  <si>
    <t>LUIS   BAON MARTINEZ</t>
  </si>
  <si>
    <t>ALEJANDRO  DEL REY MOLINA</t>
  </si>
  <si>
    <t>ESPERANDO DATOS DE AMBOS</t>
  </si>
  <si>
    <t>MIRIAM LÓPEZ MARTÍN</t>
  </si>
  <si>
    <t>MERCEDES  CARO BONILLA</t>
  </si>
  <si>
    <t>NICOLÁS ESCOLAR OKELLY</t>
  </si>
  <si>
    <t>ICIAR  YBARRA CASTAÑO</t>
  </si>
  <si>
    <t>AUGUSTO CARMONA GONZÁLEZ</t>
  </si>
  <si>
    <t>VETERANAS C</t>
  </si>
  <si>
    <t>MANUEL ECHENIQUE RODRIGUEZ</t>
  </si>
  <si>
    <t xml:space="preserve">FRANCISCO ZEA </t>
  </si>
  <si>
    <t>CARLOS VALENZUELA</t>
  </si>
  <si>
    <t>DESIREE DEGRELLE</t>
  </si>
  <si>
    <t>HÉCTOR ARA ZAMORA</t>
  </si>
  <si>
    <t>ARTURO SISO SOSA</t>
  </si>
  <si>
    <t>MANUEL PALAGANAS</t>
  </si>
  <si>
    <t>GRACE PALAGANAS</t>
  </si>
  <si>
    <t>JUAN LUIS HERNÁNDEZ IZQUIERDO</t>
  </si>
  <si>
    <t>ALBERTO QUEREJETA</t>
  </si>
  <si>
    <t>GABRIELA  ARANZADI ELEJABEITIA</t>
  </si>
  <si>
    <t>ALEJANDRO  ESTEVEZ ZURITA</t>
  </si>
  <si>
    <t>LORETO TEJUCA</t>
  </si>
  <si>
    <t>MARINA ULLASTRES ORTIZ</t>
  </si>
  <si>
    <t>ALBERTO SENANTE</t>
  </si>
  <si>
    <t>GUIOMAR OTERO CAAMAÑO</t>
  </si>
  <si>
    <t>FLORENCE  GAASCH</t>
  </si>
  <si>
    <t>BEATRIZ FERNÁNDEZ-POUSA</t>
  </si>
  <si>
    <t>PAULA MARÍA ESTRADA</t>
  </si>
  <si>
    <t>EQUIPO ABSOLUTO</t>
  </si>
  <si>
    <t>CRISTINA SÁNCHEZ CHOVER</t>
  </si>
  <si>
    <t>EQUIPO C MAS</t>
  </si>
  <si>
    <t>FRANCISCO TORROBA</t>
  </si>
  <si>
    <t>ABSOLUTO</t>
  </si>
  <si>
    <t>JOSÉ MARÍA ISARDO REY</t>
  </si>
  <si>
    <t>MARCOS  YENES</t>
  </si>
  <si>
    <t>GABRIELA  PÉREZ</t>
  </si>
  <si>
    <t>PEDRO ICAZA GAVIRIA</t>
  </si>
  <si>
    <t>INÉS ICAZA GAVIRIA</t>
  </si>
  <si>
    <t>ANGEL ALARCOS JIMÉNEZ</t>
  </si>
  <si>
    <t>ALEJANDRO  VILLALÓN</t>
  </si>
  <si>
    <t xml:space="preserve">ALFONSO  NAJJAR  </t>
  </si>
  <si>
    <t>GONZAGA AVELLO</t>
  </si>
  <si>
    <t>ENRIQUE PÉREZ-HERNÁNDEZ SAINZ</t>
  </si>
  <si>
    <t>BORJA AVELLO</t>
  </si>
  <si>
    <t>JAIME AVELLO SANZ</t>
  </si>
  <si>
    <t>ALFONSO  GÓMEZ-PINEDA</t>
  </si>
  <si>
    <t>LLUVIA Y SE RECUPERA OTRO DÍA QUE YA TENEMOS HABLADO</t>
  </si>
  <si>
    <t>ALEJANDRA CONDE ARROYO</t>
  </si>
  <si>
    <t>EQUIPO A FEM</t>
  </si>
  <si>
    <t>PAZ  GARCÍA HIRSCHFELD</t>
  </si>
  <si>
    <t>EQUIPO C</t>
  </si>
  <si>
    <t>ANULAN POR SEMANA SANTA</t>
  </si>
  <si>
    <t>MANUEL ECHENIQUE</t>
  </si>
  <si>
    <t>MARIA LUISA PARIS NICOLÁS</t>
  </si>
  <si>
    <t>BERNARDINO MAROTO</t>
  </si>
  <si>
    <t>EQUIPO C MASC</t>
  </si>
  <si>
    <t>PATRICIA NATALIA GONZÁLEZ ARTIACH</t>
  </si>
  <si>
    <t>bono</t>
  </si>
  <si>
    <t>EQUIPO B</t>
  </si>
  <si>
    <t xml:space="preserve">EQUIPO A </t>
  </si>
  <si>
    <t>ABEL LINARES DORRONSORO</t>
  </si>
  <si>
    <t>ABEL LINARES PALACIOS</t>
  </si>
  <si>
    <t>LUEGO LOS METO EN LA BBDD</t>
  </si>
  <si>
    <t>EQUIPO A</t>
  </si>
  <si>
    <t>LUEGO METO BBDD</t>
  </si>
  <si>
    <t>PATRICIA  ARRESE ZAMÁCOLA</t>
  </si>
  <si>
    <t>ÁLVARO PAYÁ</t>
  </si>
  <si>
    <t>MARCOS YENES</t>
  </si>
  <si>
    <t>EQUIPOS B Y C MASC</t>
  </si>
  <si>
    <t>JAIME GARCÍA-YANES</t>
  </si>
  <si>
    <t>ANA ISABEL IRANZO MENDEZ</t>
  </si>
  <si>
    <t xml:space="preserve">EQUIPOS B   </t>
  </si>
  <si>
    <t>TERESA ELENA M. SANTOS</t>
  </si>
  <si>
    <t>FECH CLASE</t>
  </si>
  <si>
    <t>CONCEPT EVENT</t>
  </si>
  <si>
    <t>Id_1</t>
  </si>
  <si>
    <t>Id_2</t>
  </si>
  <si>
    <t>Id_3</t>
  </si>
  <si>
    <t>Id_4</t>
  </si>
  <si>
    <t>OK_BD</t>
  </si>
  <si>
    <t>Particulares sueltas</t>
  </si>
  <si>
    <t>Escuela 2 Personas 1h</t>
  </si>
  <si>
    <t>Escuela 2 Personas 1,5h</t>
  </si>
  <si>
    <t>CAPITANIA 3h</t>
  </si>
  <si>
    <t>Escuela 4 Personas 1,5h</t>
  </si>
  <si>
    <t>BONO8</t>
  </si>
  <si>
    <t>Particular bono 8 clases 2P</t>
  </si>
  <si>
    <t>SIN-ALUMNOS</t>
  </si>
  <si>
    <t>Clase Partido</t>
  </si>
  <si>
    <t>Escuela 3 Personas 1,5h</t>
  </si>
  <si>
    <t>EDUARDO ZAMÁCOLA BALLESTERO</t>
  </si>
  <si>
    <t>ELENA  GONZÁLEZ TARGHETTA</t>
  </si>
  <si>
    <t>ELENA  OCÓN</t>
  </si>
  <si>
    <t>XEQUIPO A FEMX</t>
  </si>
  <si>
    <t>AUGUSTO CARO HERRERA</t>
  </si>
  <si>
    <t>BEATRIZ SAINZ STUYCK</t>
  </si>
  <si>
    <t>DOLORES TELLO SANCHEZ DEL ÁGUILA</t>
  </si>
  <si>
    <t>Equipo b fem</t>
  </si>
  <si>
    <t>Equipo A Fem</t>
  </si>
  <si>
    <t>COMPETICIONX</t>
  </si>
  <si>
    <t>XEquipo b femX</t>
  </si>
  <si>
    <t>XEQUIPO B FEMX</t>
  </si>
  <si>
    <t>COMPETICION</t>
  </si>
  <si>
    <t>eQUIPO A FEM</t>
  </si>
  <si>
    <t>XCOMPETICIONX</t>
  </si>
  <si>
    <t>equipo b fem</t>
  </si>
  <si>
    <t>Xequipo b femX</t>
  </si>
  <si>
    <t>XEquipo A FemX</t>
  </si>
  <si>
    <t>FRANCISCO ZEA</t>
  </si>
  <si>
    <t>XCOMPETICION</t>
  </si>
  <si>
    <t>BONO4</t>
  </si>
  <si>
    <t>Particular bono 4 clases 1P</t>
  </si>
  <si>
    <t>equipo A fem</t>
  </si>
  <si>
    <t>Xequipo A femX</t>
  </si>
  <si>
    <t>Particular bono 8 clases 1P</t>
  </si>
  <si>
    <t>MON</t>
  </si>
  <si>
    <t>Alvaro</t>
  </si>
  <si>
    <t>NUMAl</t>
  </si>
  <si>
    <t>Particular bono 4 clases 2P</t>
  </si>
  <si>
    <t>ajajaja</t>
  </si>
  <si>
    <t>Competicion veteranos 1,5h</t>
  </si>
  <si>
    <t>equipo a fem</t>
  </si>
  <si>
    <t>Xequipo a femX</t>
  </si>
  <si>
    <t>09:00</t>
  </si>
  <si>
    <t>09:30</t>
  </si>
  <si>
    <t>08:30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</si>
</sst>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1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3" tint="-0.499984740745262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rgb="FF000000"/>
      <name val="Calibri"/>
      <scheme val="minor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1"/>
      <name val="Verdana"/>
      <family val="2"/>
    </font>
    <font>
      <sz val="10"/>
      <name val="Calibri"/>
      <family val="2"/>
    </font>
    <font>
      <b/>
      <sz val="8"/>
      <color rgb="FFFFFFFF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sz val="10"/>
      <color theme="1"/>
      <name val="Calibri"/>
      <family val="2"/>
    </font>
    <font>
      <sz val="10"/>
      <color theme="2"/>
      <name val="Calibri"/>
      <family val="2"/>
      <scheme val="minor"/>
    </font>
    <font>
      <b/>
      <sz val="8"/>
      <color theme="2"/>
      <name val="Verdana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C0392B"/>
      <name val="Verdana"/>
      <family val="2"/>
    </font>
    <font>
      <sz val="8"/>
      <color rgb="FF3C3C3C"/>
      <name val="Calibri"/>
      <family val="2"/>
      <scheme val="minor"/>
    </font>
    <font>
      <sz val="10"/>
      <color rgb="FF3C3C3C"/>
      <name val="Calibri"/>
      <family val="2"/>
      <scheme val="minor"/>
    </font>
    <font>
      <sz val="11"/>
      <color rgb="FF3C3C3C"/>
      <name val="Calibri"/>
      <family val="2"/>
      <scheme val="minor"/>
    </font>
    <font>
      <sz val="8"/>
      <color theme="1" tint="4.9989318521683403E-2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8"/>
      <color theme="1" tint="4.9989318521683403E-2"/>
      <name val="Verdana"/>
      <family val="2"/>
    </font>
    <font>
      <sz val="8"/>
      <color rgb="FF555555"/>
      <name val="Calibri"/>
      <family val="2"/>
      <scheme val="minor"/>
    </font>
    <font>
      <sz val="10"/>
      <color rgb="FF555555"/>
      <name val="Calibri"/>
      <family val="2"/>
      <scheme val="minor"/>
    </font>
    <font>
      <sz val="11"/>
      <color rgb="FF555555"/>
      <name val="Calibri"/>
      <family val="2"/>
      <scheme val="minor"/>
    </font>
    <font>
      <u/>
      <sz val="11"/>
      <color rgb="FF555555"/>
      <name val="Calibri"/>
      <family val="2"/>
      <scheme val="minor"/>
    </font>
    <font>
      <b/>
      <sz val="8"/>
      <color rgb="FF555555"/>
      <name val="Verdana"/>
      <family val="2"/>
    </font>
    <font>
      <sz val="11"/>
      <color rgb="FFF5F5F5"/>
      <name val="Calibri"/>
      <family val="2"/>
      <scheme val="minor"/>
    </font>
    <font>
      <sz val="10"/>
      <color rgb="FFF5F5F5"/>
      <name val="Calibri"/>
      <family val="2"/>
      <scheme val="minor"/>
    </font>
    <font>
      <sz val="8"/>
      <color rgb="FFF5F5F5"/>
      <name val="Calibri"/>
      <family val="2"/>
      <scheme val="minor"/>
    </font>
    <font>
      <b/>
      <sz val="8"/>
      <color rgb="FF3C3C3C"/>
      <name val="Verdana"/>
      <family val="2"/>
    </font>
    <font>
      <sz val="8"/>
      <color rgb="FF3C3C3C"/>
      <name val="Verdana"/>
      <family val="2"/>
    </font>
    <font>
      <b/>
      <sz val="8"/>
      <color rgb="FFF5F5F5"/>
      <name val="Verdana"/>
      <family val="2"/>
    </font>
    <font>
      <sz val="8"/>
      <color rgb="FFF5F5F5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rgb="FF8DB3E2"/>
        <bgColor rgb="FF8DB3E2"/>
      </patternFill>
    </fill>
    <fill>
      <patternFill patternType="solid">
        <fgColor rgb="FFFDE9D9"/>
        <bgColor rgb="FFFDE9D9"/>
      </patternFill>
    </fill>
    <fill>
      <patternFill patternType="solid">
        <fgColor rgb="FFFFC000"/>
        <bgColor rgb="FFFFC000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C0392B"/>
        <bgColor indexed="64"/>
      </patternFill>
    </fill>
    <fill>
      <patternFill patternType="solid">
        <fgColor rgb="FFFFA07A"/>
        <bgColor theme="5"/>
      </patternFill>
    </fill>
    <fill>
      <patternFill patternType="solid">
        <fgColor rgb="FF87CEEB"/>
        <bgColor theme="5"/>
      </patternFill>
    </fill>
    <fill>
      <patternFill patternType="solid">
        <fgColor rgb="FF87CEEB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theme="5"/>
      </patternFill>
    </fill>
    <fill>
      <patternFill patternType="solid">
        <fgColor rgb="FF5499C7"/>
        <bgColor indexed="64"/>
      </patternFill>
    </fill>
    <fill>
      <patternFill patternType="solid">
        <fgColor rgb="FF99FFCC"/>
        <bgColor rgb="FFD8D8D8"/>
      </patternFill>
    </fill>
    <fill>
      <patternFill patternType="solid">
        <fgColor rgb="FF99FFCC"/>
        <bgColor theme="0"/>
      </patternFill>
    </fill>
    <fill>
      <patternFill patternType="solid">
        <fgColor rgb="FF5499C7"/>
        <bgColor rgb="FFD8D8D8"/>
      </patternFill>
    </fill>
    <fill>
      <patternFill patternType="solid">
        <fgColor rgb="FF5499C7"/>
        <bgColor theme="0"/>
      </patternFill>
    </fill>
  </fills>
  <borders count="3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3">
    <xf numFmtId="0" fontId="0" fillId="0" borderId="0"/>
    <xf numFmtId="0" fontId="1" fillId="0" borderId="0"/>
    <xf numFmtId="0" fontId="8" fillId="0" borderId="0"/>
  </cellStyleXfs>
  <cellXfs count="139">
    <xf numFmtId="0" fontId="0" fillId="0" borderId="0" xfId="0"/>
    <xf numFmtId="0" fontId="2" fillId="0" borderId="0" xfId="1" applyFont="1" applyAlignment="1">
      <alignment horizontal="center" vertical="center" wrapText="1"/>
    </xf>
    <xf numFmtId="0" fontId="1" fillId="0" borderId="0" xfId="1"/>
    <xf numFmtId="0" fontId="6" fillId="0" borderId="0" xfId="0" applyFont="1"/>
    <xf numFmtId="0" fontId="7" fillId="0" borderId="0" xfId="0" applyFont="1" applyAlignment="1">
      <alignment horizontal="left" indent="2"/>
    </xf>
    <xf numFmtId="0" fontId="6" fillId="0" borderId="0" xfId="0" applyFont="1" applyAlignment="1">
      <alignment horizontal="right" indent="1"/>
    </xf>
    <xf numFmtId="0" fontId="3" fillId="0" borderId="0" xfId="1" applyFont="1" applyAlignment="1">
      <alignment horizontal="center" vertical="center" wrapText="1"/>
    </xf>
    <xf numFmtId="49" fontId="3" fillId="2" borderId="4" xfId="1" applyNumberFormat="1" applyFont="1" applyFill="1" applyBorder="1" applyAlignment="1">
      <alignment horizontal="center" vertical="center" wrapText="1"/>
    </xf>
    <xf numFmtId="49" fontId="3" fillId="2" borderId="5" xfId="1" applyNumberFormat="1" applyFont="1" applyFill="1" applyBorder="1" applyAlignment="1">
      <alignment horizontal="center" vertical="center" wrapText="1"/>
    </xf>
    <xf numFmtId="0" fontId="2" fillId="3" borderId="3" xfId="1" applyFont="1" applyFill="1" applyBorder="1" applyAlignment="1">
      <alignment horizontal="center" vertical="center" wrapText="1"/>
    </xf>
    <xf numFmtId="0" fontId="2" fillId="3" borderId="2" xfId="1" applyFont="1" applyFill="1" applyBorder="1" applyAlignment="1">
      <alignment horizontal="center" vertical="center" wrapText="1"/>
    </xf>
    <xf numFmtId="0" fontId="2" fillId="3" borderId="6" xfId="1" applyFont="1" applyFill="1" applyBorder="1" applyAlignment="1">
      <alignment horizontal="center" vertical="center" wrapText="1"/>
    </xf>
    <xf numFmtId="49" fontId="2" fillId="3" borderId="3" xfId="1" applyNumberFormat="1" applyFont="1" applyFill="1" applyBorder="1" applyAlignment="1">
      <alignment horizontal="center" vertical="center" wrapText="1"/>
    </xf>
    <xf numFmtId="0" fontId="2" fillId="3" borderId="7" xfId="1" applyFont="1" applyFill="1" applyBorder="1" applyAlignment="1">
      <alignment horizontal="center" vertical="center" wrapText="1"/>
    </xf>
    <xf numFmtId="0" fontId="2" fillId="3" borderId="1" xfId="1" applyFont="1" applyFill="1" applyBorder="1" applyAlignment="1">
      <alignment horizontal="center" vertical="center" wrapText="1"/>
    </xf>
    <xf numFmtId="49" fontId="2" fillId="0" borderId="0" xfId="1" applyNumberFormat="1" applyFont="1" applyAlignment="1">
      <alignment horizontal="center" vertical="center" wrapText="1"/>
    </xf>
    <xf numFmtId="0" fontId="2" fillId="0" borderId="0" xfId="2" applyFont="1" applyAlignment="1">
      <alignment horizontal="center" vertical="center" wrapText="1"/>
    </xf>
    <xf numFmtId="0" fontId="8" fillId="0" borderId="0" xfId="2"/>
    <xf numFmtId="0" fontId="9" fillId="0" borderId="0" xfId="2" applyFont="1" applyAlignment="1">
      <alignment vertical="center"/>
    </xf>
    <xf numFmtId="0" fontId="10" fillId="0" borderId="0" xfId="2" applyFont="1"/>
    <xf numFmtId="0" fontId="14" fillId="6" borderId="3" xfId="2" applyFont="1" applyFill="1" applyBorder="1" applyAlignment="1">
      <alignment horizontal="center" vertical="center" wrapText="1"/>
    </xf>
    <xf numFmtId="164" fontId="8" fillId="6" borderId="3" xfId="2" applyNumberFormat="1" applyFill="1" applyBorder="1" applyAlignment="1">
      <alignment horizontal="center" vertical="center" wrapText="1"/>
    </xf>
    <xf numFmtId="0" fontId="12" fillId="0" borderId="0" xfId="2" applyFont="1"/>
    <xf numFmtId="0" fontId="14" fillId="0" borderId="0" xfId="2" applyFont="1" applyAlignment="1">
      <alignment horizontal="center" vertical="center" wrapText="1"/>
    </xf>
    <xf numFmtId="164" fontId="15" fillId="7" borderId="3" xfId="2" applyNumberFormat="1" applyFont="1" applyFill="1" applyBorder="1" applyAlignment="1">
      <alignment horizontal="center" vertical="center" wrapText="1"/>
    </xf>
    <xf numFmtId="0" fontId="15" fillId="5" borderId="16" xfId="2" applyFont="1" applyFill="1" applyBorder="1" applyAlignment="1">
      <alignment horizontal="center" vertical="center" wrapText="1"/>
    </xf>
    <xf numFmtId="0" fontId="15" fillId="5" borderId="17" xfId="2" applyFont="1" applyFill="1" applyBorder="1" applyAlignment="1">
      <alignment horizontal="center" vertical="center" wrapText="1"/>
    </xf>
    <xf numFmtId="0" fontId="13" fillId="5" borderId="17" xfId="2" applyFont="1" applyFill="1" applyBorder="1" applyAlignment="1">
      <alignment horizontal="center" vertical="center" wrapText="1"/>
    </xf>
    <xf numFmtId="49" fontId="13" fillId="5" borderId="17" xfId="2" applyNumberFormat="1" applyFont="1" applyFill="1" applyBorder="1" applyAlignment="1">
      <alignment horizontal="center" vertical="center" wrapText="1"/>
    </xf>
    <xf numFmtId="0" fontId="15" fillId="5" borderId="18" xfId="2" applyFont="1" applyFill="1" applyBorder="1" applyAlignment="1">
      <alignment horizontal="center" vertical="center" wrapText="1"/>
    </xf>
    <xf numFmtId="0" fontId="3" fillId="8" borderId="19" xfId="2" applyFont="1" applyFill="1" applyBorder="1" applyAlignment="1">
      <alignment horizontal="center" vertical="center" wrapText="1"/>
    </xf>
    <xf numFmtId="0" fontId="2" fillId="9" borderId="20" xfId="2" applyFont="1" applyFill="1" applyBorder="1" applyAlignment="1">
      <alignment horizontal="center" vertical="center" wrapText="1"/>
    </xf>
    <xf numFmtId="49" fontId="2" fillId="9" borderId="20" xfId="2" applyNumberFormat="1" applyFont="1" applyFill="1" applyBorder="1" applyAlignment="1">
      <alignment horizontal="center" vertical="center" wrapText="1"/>
    </xf>
    <xf numFmtId="0" fontId="2" fillId="0" borderId="21" xfId="2" applyFont="1" applyBorder="1" applyAlignment="1">
      <alignment horizontal="center" vertical="center" wrapText="1"/>
    </xf>
    <xf numFmtId="0" fontId="3" fillId="8" borderId="22" xfId="2" applyFont="1" applyFill="1" applyBorder="1" applyAlignment="1">
      <alignment horizontal="center" vertical="center" wrapText="1"/>
    </xf>
    <xf numFmtId="0" fontId="2" fillId="9" borderId="23" xfId="2" applyFont="1" applyFill="1" applyBorder="1" applyAlignment="1">
      <alignment horizontal="center" vertical="center" wrapText="1"/>
    </xf>
    <xf numFmtId="49" fontId="2" fillId="9" borderId="23" xfId="2" applyNumberFormat="1" applyFont="1" applyFill="1" applyBorder="1" applyAlignment="1">
      <alignment horizontal="center" vertical="center" wrapText="1"/>
    </xf>
    <xf numFmtId="0" fontId="2" fillId="0" borderId="24" xfId="2" applyFont="1" applyBorder="1" applyAlignment="1">
      <alignment horizontal="center" vertical="center" wrapText="1"/>
    </xf>
    <xf numFmtId="0" fontId="16" fillId="0" borderId="24" xfId="2" applyFont="1" applyBorder="1" applyAlignment="1">
      <alignment horizontal="center"/>
    </xf>
    <xf numFmtId="164" fontId="17" fillId="6" borderId="3" xfId="2" applyNumberFormat="1" applyFont="1" applyFill="1" applyBorder="1" applyAlignment="1">
      <alignment horizontal="center" vertical="center" wrapText="1"/>
    </xf>
    <xf numFmtId="164" fontId="18" fillId="7" borderId="3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5" fillId="5" borderId="17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shrinkToFit="1"/>
    </xf>
    <xf numFmtId="0" fontId="15" fillId="5" borderId="18" xfId="2" applyFont="1" applyFill="1" applyBorder="1" applyAlignment="1">
      <alignment horizontal="left" vertical="center" wrapText="1"/>
    </xf>
    <xf numFmtId="0" fontId="20" fillId="0" borderId="0" xfId="0" applyFont="1" applyAlignment="1">
      <alignment horizontal="left"/>
    </xf>
    <xf numFmtId="0" fontId="15" fillId="5" borderId="25" xfId="2" applyFont="1" applyFill="1" applyBorder="1" applyAlignment="1">
      <alignment horizontal="center" vertical="center" wrapText="1"/>
    </xf>
    <xf numFmtId="14" fontId="0" fillId="0" borderId="0" xfId="0" applyNumberFormat="1"/>
    <xf numFmtId="0" fontId="15" fillId="5" borderId="16" xfId="2" applyFont="1" applyFill="1" applyBorder="1" applyAlignment="1">
      <alignment horizontal="left" vertical="center" wrapText="1"/>
    </xf>
    <xf numFmtId="0" fontId="13" fillId="5" borderId="17" xfId="2" applyFont="1" applyFill="1" applyBorder="1" applyAlignment="1">
      <alignment horizontal="left" vertical="center" wrapText="1"/>
    </xf>
    <xf numFmtId="49" fontId="13" fillId="5" borderId="17" xfId="2" applyNumberFormat="1" applyFont="1" applyFill="1" applyBorder="1" applyAlignment="1">
      <alignment horizontal="left" vertical="center" wrapText="1"/>
    </xf>
    <xf numFmtId="164" fontId="0" fillId="6" borderId="3" xfId="2" applyNumberFormat="1" applyFont="1" applyFill="1" applyBorder="1" applyAlignment="1">
      <alignment horizontal="center" vertical="center" wrapText="1"/>
    </xf>
    <xf numFmtId="0" fontId="15" fillId="5" borderId="26" xfId="2" applyFont="1" applyFill="1" applyBorder="1" applyAlignment="1">
      <alignment horizontal="left" vertical="center" wrapText="1"/>
    </xf>
    <xf numFmtId="0" fontId="20" fillId="13" borderId="0" xfId="0" applyFont="1" applyFill="1" applyAlignment="1">
      <alignment horizontal="left"/>
    </xf>
    <xf numFmtId="0" fontId="19" fillId="13" borderId="0" xfId="0" applyFont="1" applyFill="1" applyAlignment="1">
      <alignment horizontal="left" shrinkToFit="1"/>
    </xf>
    <xf numFmtId="0" fontId="23" fillId="14" borderId="0" xfId="0" applyFont="1" applyFill="1" applyAlignment="1">
      <alignment horizontal="left"/>
    </xf>
    <xf numFmtId="0" fontId="24" fillId="14" borderId="0" xfId="0" applyFont="1" applyFill="1" applyAlignment="1">
      <alignment horizontal="left" shrinkToFit="1"/>
    </xf>
    <xf numFmtId="0" fontId="25" fillId="14" borderId="0" xfId="0" applyFont="1" applyFill="1"/>
    <xf numFmtId="0" fontId="0" fillId="15" borderId="0" xfId="0" applyFill="1"/>
    <xf numFmtId="0" fontId="20" fillId="16" borderId="0" xfId="0" applyFont="1" applyFill="1" applyAlignment="1">
      <alignment horizontal="left"/>
    </xf>
    <xf numFmtId="0" fontId="19" fillId="16" borderId="0" xfId="0" applyFont="1" applyFill="1" applyAlignment="1">
      <alignment horizontal="left" shrinkToFit="1"/>
    </xf>
    <xf numFmtId="0" fontId="0" fillId="16" borderId="0" xfId="0" applyFill="1"/>
    <xf numFmtId="0" fontId="19" fillId="15" borderId="0" xfId="0" applyFont="1" applyFill="1" applyAlignment="1">
      <alignment horizontal="left" shrinkToFit="1"/>
    </xf>
    <xf numFmtId="0" fontId="28" fillId="0" borderId="0" xfId="2" applyFont="1" applyAlignment="1">
      <alignment horizontal="center" vertical="center" wrapText="1"/>
    </xf>
    <xf numFmtId="0" fontId="27" fillId="0" borderId="0" xfId="2" applyFont="1"/>
    <xf numFmtId="0" fontId="27" fillId="16" borderId="0" xfId="0" applyFont="1" applyFill="1" applyAlignment="1">
      <alignment horizontal="left" shrinkToFit="1"/>
    </xf>
    <xf numFmtId="0" fontId="26" fillId="16" borderId="0" xfId="0" applyFont="1" applyFill="1" applyAlignment="1">
      <alignment horizontal="left"/>
    </xf>
    <xf numFmtId="0" fontId="20" fillId="17" borderId="0" xfId="0" applyFont="1" applyFill="1" applyAlignment="1">
      <alignment horizontal="left"/>
    </xf>
    <xf numFmtId="0" fontId="19" fillId="17" borderId="0" xfId="0" applyFont="1" applyFill="1" applyAlignment="1">
      <alignment horizontal="left" shrinkToFit="1"/>
    </xf>
    <xf numFmtId="0" fontId="29" fillId="16" borderId="0" xfId="0" applyFont="1" applyFill="1" applyAlignment="1">
      <alignment horizontal="left"/>
    </xf>
    <xf numFmtId="0" fontId="30" fillId="16" borderId="0" xfId="0" applyFont="1" applyFill="1" applyAlignment="1">
      <alignment horizontal="left" shrinkToFit="1"/>
    </xf>
    <xf numFmtId="0" fontId="31" fillId="16" borderId="0" xfId="0" applyFont="1" applyFill="1"/>
    <xf numFmtId="0" fontId="32" fillId="16" borderId="0" xfId="0" applyFont="1" applyFill="1"/>
    <xf numFmtId="0" fontId="33" fillId="11" borderId="27" xfId="2" applyFont="1" applyFill="1" applyBorder="1" applyAlignment="1">
      <alignment horizontal="center" vertical="center" wrapText="1"/>
    </xf>
    <xf numFmtId="0" fontId="33" fillId="11" borderId="28" xfId="2" applyFont="1" applyFill="1" applyBorder="1" applyAlignment="1">
      <alignment horizontal="center" vertical="center" wrapText="1"/>
    </xf>
    <xf numFmtId="0" fontId="34" fillId="10" borderId="0" xfId="0" applyFont="1" applyFill="1"/>
    <xf numFmtId="0" fontId="33" fillId="11" borderId="16" xfId="2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shrinkToFit="1"/>
    </xf>
    <xf numFmtId="0" fontId="36" fillId="18" borderId="0" xfId="0" applyFont="1" applyFill="1" applyAlignment="1">
      <alignment horizontal="center" shrinkToFit="1"/>
    </xf>
    <xf numFmtId="0" fontId="23" fillId="14" borderId="0" xfId="0" applyFont="1" applyFill="1" applyAlignment="1">
      <alignment horizontal="center" shrinkToFit="1"/>
    </xf>
    <xf numFmtId="0" fontId="33" fillId="11" borderId="17" xfId="2" applyFont="1" applyFill="1" applyBorder="1" applyAlignment="1">
      <alignment horizontal="center" vertical="center" wrapText="1"/>
    </xf>
    <xf numFmtId="0" fontId="33" fillId="11" borderId="31" xfId="2" applyFont="1" applyFill="1" applyBorder="1" applyAlignment="1">
      <alignment horizontal="center" vertical="center" wrapText="1"/>
    </xf>
    <xf numFmtId="0" fontId="15" fillId="5" borderId="30" xfId="2" applyFont="1" applyFill="1" applyBorder="1" applyAlignment="1">
      <alignment horizontal="center" vertical="center" wrapText="1"/>
    </xf>
    <xf numFmtId="0" fontId="22" fillId="19" borderId="29" xfId="2" applyFont="1" applyFill="1" applyBorder="1" applyAlignment="1">
      <alignment horizontal="center" vertical="center" wrapText="1"/>
    </xf>
    <xf numFmtId="0" fontId="33" fillId="12" borderId="32" xfId="2" applyFont="1" applyFill="1" applyBorder="1" applyAlignment="1">
      <alignment horizontal="left" vertical="center" wrapText="1"/>
    </xf>
    <xf numFmtId="49" fontId="33" fillId="12" borderId="17" xfId="2" applyNumberFormat="1" applyFont="1" applyFill="1" applyBorder="1" applyAlignment="1">
      <alignment horizontal="left" vertical="center" wrapText="1"/>
    </xf>
    <xf numFmtId="0" fontId="36" fillId="20" borderId="0" xfId="0" applyFont="1" applyFill="1" applyAlignment="1">
      <alignment horizontal="left"/>
    </xf>
    <xf numFmtId="0" fontId="35" fillId="20" borderId="0" xfId="0" applyFont="1" applyFill="1" applyAlignment="1">
      <alignment horizontal="left" shrinkToFit="1"/>
    </xf>
    <xf numFmtId="0" fontId="33" fillId="12" borderId="17" xfId="2" applyFont="1" applyFill="1" applyBorder="1" applyAlignment="1">
      <alignment horizontal="center" vertical="center" wrapText="1"/>
    </xf>
    <xf numFmtId="0" fontId="33" fillId="11" borderId="25" xfId="2" applyFont="1" applyFill="1" applyBorder="1" applyAlignment="1">
      <alignment horizontal="center" vertical="center" wrapText="1"/>
    </xf>
    <xf numFmtId="0" fontId="33" fillId="12" borderId="25" xfId="2" applyFont="1" applyFill="1" applyBorder="1" applyAlignment="1">
      <alignment horizontal="center" vertical="center" wrapText="1"/>
    </xf>
    <xf numFmtId="0" fontId="36" fillId="20" borderId="0" xfId="0" applyFont="1" applyFill="1" applyAlignment="1">
      <alignment horizontal="center" shrinkToFit="1"/>
    </xf>
    <xf numFmtId="0" fontId="34" fillId="20" borderId="0" xfId="0" applyFont="1" applyFill="1"/>
    <xf numFmtId="0" fontId="33" fillId="12" borderId="17" xfId="2" applyFont="1" applyFill="1" applyBorder="1" applyAlignment="1">
      <alignment horizontal="left" vertical="center" wrapText="1"/>
    </xf>
    <xf numFmtId="20" fontId="0" fillId="0" borderId="0" xfId="0" applyNumberFormat="1"/>
    <xf numFmtId="20" fontId="25" fillId="14" borderId="0" xfId="0" applyNumberFormat="1" applyFont="1" applyFill="1"/>
    <xf numFmtId="20" fontId="34" fillId="20" borderId="0" xfId="0" applyNumberFormat="1" applyFont="1" applyFill="1"/>
    <xf numFmtId="20" fontId="0" fillId="0" borderId="0" xfId="0" applyNumberFormat="1" applyAlignment="1">
      <alignment horizontal="left"/>
    </xf>
    <xf numFmtId="0" fontId="25" fillId="14" borderId="0" xfId="0" applyFont="1" applyFill="1" applyAlignment="1">
      <alignment horizontal="left"/>
    </xf>
    <xf numFmtId="20" fontId="25" fillId="14" borderId="0" xfId="0" applyNumberFormat="1" applyFont="1" applyFill="1" applyAlignment="1">
      <alignment horizontal="left"/>
    </xf>
    <xf numFmtId="0" fontId="34" fillId="20" borderId="0" xfId="0" applyFont="1" applyFill="1" applyAlignment="1">
      <alignment horizontal="left"/>
    </xf>
    <xf numFmtId="20" fontId="34" fillId="20" borderId="0" xfId="0" applyNumberFormat="1" applyFont="1" applyFill="1" applyAlignment="1">
      <alignment horizontal="left"/>
    </xf>
    <xf numFmtId="20" fontId="20" fillId="0" borderId="0" xfId="0" applyNumberFormat="1" applyFont="1" applyAlignment="1">
      <alignment horizontal="left"/>
    </xf>
    <xf numFmtId="20" fontId="36" fillId="20" borderId="0" xfId="0" applyNumberFormat="1" applyFont="1" applyFill="1" applyAlignment="1">
      <alignment horizontal="left"/>
    </xf>
    <xf numFmtId="20" fontId="23" fillId="14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14" fontId="0" fillId="0" borderId="33" xfId="0" applyNumberFormat="1" applyBorder="1"/>
    <xf numFmtId="0" fontId="0" fillId="0" borderId="33" xfId="0" applyBorder="1"/>
    <xf numFmtId="14" fontId="0" fillId="0" borderId="11" xfId="0" applyNumberFormat="1" applyBorder="1"/>
    <xf numFmtId="0" fontId="0" fillId="0" borderId="34" xfId="0" applyBorder="1"/>
    <xf numFmtId="0" fontId="0" fillId="0" borderId="35" xfId="0" applyBorder="1"/>
    <xf numFmtId="0" fontId="34" fillId="10" borderId="35" xfId="0" applyFont="1" applyFill="1" applyBorder="1"/>
    <xf numFmtId="0" fontId="0" fillId="0" borderId="2" xfId="0" applyBorder="1"/>
    <xf numFmtId="0" fontId="33" fillId="12" borderId="30" xfId="2" applyFont="1" applyFill="1" applyBorder="1" applyAlignment="1">
      <alignment horizontal="left" vertical="center" wrapText="1"/>
    </xf>
    <xf numFmtId="0" fontId="0" fillId="0" borderId="11" xfId="0" applyBorder="1"/>
    <xf numFmtId="0" fontId="0" fillId="0" borderId="36" xfId="0" applyBorder="1"/>
    <xf numFmtId="0" fontId="0" fillId="0" borderId="37" xfId="0" applyBorder="1"/>
    <xf numFmtId="20" fontId="2" fillId="9" borderId="23" xfId="2" applyNumberFormat="1" applyFont="1" applyFill="1" applyBorder="1" applyAlignment="1">
      <alignment horizontal="center" vertical="center" wrapText="1"/>
    </xf>
    <xf numFmtId="0" fontId="37" fillId="21" borderId="22" xfId="2" applyFont="1" applyFill="1" applyBorder="1" applyAlignment="1">
      <alignment horizontal="center" vertical="center" wrapText="1"/>
    </xf>
    <xf numFmtId="0" fontId="38" fillId="22" borderId="23" xfId="2" applyFont="1" applyFill="1" applyBorder="1" applyAlignment="1">
      <alignment horizontal="center" vertical="center" wrapText="1"/>
    </xf>
    <xf numFmtId="49" fontId="38" fillId="22" borderId="23" xfId="2" applyNumberFormat="1" applyFont="1" applyFill="1" applyBorder="1" applyAlignment="1">
      <alignment horizontal="center" vertical="center" wrapText="1"/>
    </xf>
    <xf numFmtId="0" fontId="38" fillId="14" borderId="24" xfId="2" applyFont="1" applyFill="1" applyBorder="1" applyAlignment="1">
      <alignment horizontal="center" vertical="center" wrapText="1"/>
    </xf>
    <xf numFmtId="0" fontId="39" fillId="23" borderId="22" xfId="2" applyFont="1" applyFill="1" applyBorder="1" applyAlignment="1">
      <alignment horizontal="center" vertical="center" wrapText="1"/>
    </xf>
    <xf numFmtId="0" fontId="40" fillId="24" borderId="23" xfId="2" applyFont="1" applyFill="1" applyBorder="1" applyAlignment="1">
      <alignment horizontal="center" vertical="center" wrapText="1"/>
    </xf>
    <xf numFmtId="49" fontId="40" fillId="24" borderId="23" xfId="2" applyNumberFormat="1" applyFont="1" applyFill="1" applyBorder="1" applyAlignment="1">
      <alignment horizontal="center" vertical="center" wrapText="1"/>
    </xf>
    <xf numFmtId="0" fontId="40" fillId="20" borderId="24" xfId="2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 indent="2"/>
    </xf>
    <xf numFmtId="0" fontId="11" fillId="4" borderId="8" xfId="2" applyFont="1" applyFill="1" applyBorder="1" applyAlignment="1">
      <alignment horizontal="center" vertical="center" wrapText="1"/>
    </xf>
    <xf numFmtId="0" fontId="12" fillId="0" borderId="1" xfId="2" applyFont="1" applyBorder="1"/>
    <xf numFmtId="0" fontId="12" fillId="0" borderId="11" xfId="2" applyFont="1" applyBorder="1"/>
    <xf numFmtId="0" fontId="12" fillId="0" borderId="2" xfId="2" applyFont="1" applyBorder="1"/>
    <xf numFmtId="0" fontId="13" fillId="5" borderId="9" xfId="2" applyFont="1" applyFill="1" applyBorder="1" applyAlignment="1">
      <alignment horizontal="center" vertical="center" wrapText="1"/>
    </xf>
    <xf numFmtId="0" fontId="12" fillId="0" borderId="12" xfId="2" applyFont="1" applyBorder="1"/>
    <xf numFmtId="0" fontId="12" fillId="0" borderId="14" xfId="2" applyFont="1" applyBorder="1"/>
    <xf numFmtId="0" fontId="3" fillId="0" borderId="10" xfId="2" applyFont="1" applyBorder="1" applyAlignment="1">
      <alignment horizontal="center" vertical="center" wrapText="1"/>
    </xf>
    <xf numFmtId="0" fontId="12" fillId="0" borderId="13" xfId="2" applyFont="1" applyBorder="1"/>
    <xf numFmtId="0" fontId="12" fillId="0" borderId="15" xfId="2" applyFont="1" applyBorder="1"/>
    <xf numFmtId="0" fontId="15" fillId="5" borderId="9" xfId="2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Normal 3" xfId="2" xr:uid="{F2129F50-5896-4EF6-9618-D043BFEA06A5}"/>
  </cellStyles>
  <dxfs count="98"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textRotation="0" indent="0" justifyLastLine="0" shrinkToFit="0" readingOrder="0"/>
      <border outline="0">
        <right style="thin">
          <color rgb="FF000000"/>
        </right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AAFFC3"/>
      </font>
      <fill>
        <patternFill>
          <bgColor rgb="FFAAFFC3"/>
        </patternFill>
      </fill>
    </dxf>
    <dxf>
      <font>
        <color rgb="FFF5B041"/>
      </font>
      <fill>
        <patternFill>
          <bgColor rgb="FFF5B041"/>
        </patternFill>
      </fill>
    </dxf>
    <dxf>
      <font>
        <color rgb="FFC0392B"/>
      </font>
      <fill>
        <patternFill>
          <bgColor rgb="FFC0392B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1" readingOrder="0"/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AAFFC3"/>
      </font>
      <fill>
        <patternFill>
          <bgColor rgb="FFAAFFC3"/>
        </patternFill>
      </fill>
    </dxf>
    <dxf>
      <font>
        <color rgb="FFF5B041"/>
      </font>
      <fill>
        <patternFill>
          <bgColor rgb="FFF5B041"/>
        </patternFill>
      </fill>
    </dxf>
    <dxf>
      <font>
        <color rgb="FFC0392B"/>
      </font>
      <fill>
        <patternFill>
          <bgColor rgb="FFC0392B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AAFFC3"/>
      </font>
      <fill>
        <patternFill>
          <bgColor rgb="FFAAFFC3"/>
        </patternFill>
      </fill>
    </dxf>
    <dxf>
      <font>
        <color rgb="FFF5B041"/>
      </font>
      <fill>
        <patternFill>
          <bgColor rgb="FFF5B041"/>
        </patternFill>
      </fill>
    </dxf>
    <dxf>
      <font>
        <color rgb="FFC0392B"/>
      </font>
      <fill>
        <patternFill>
          <bgColor rgb="FFC0392B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AAFFC3"/>
      </font>
      <fill>
        <patternFill>
          <bgColor rgb="FFAAFFC3"/>
        </patternFill>
      </fill>
    </dxf>
    <dxf>
      <font>
        <color rgb="FFF5B041"/>
      </font>
      <fill>
        <patternFill>
          <bgColor rgb="FFF5B041"/>
        </patternFill>
      </fill>
    </dxf>
    <dxf>
      <font>
        <color rgb="FFC0392B"/>
      </font>
      <fill>
        <patternFill>
          <bgColor rgb="FFC0392B"/>
        </patternFill>
      </fill>
    </dxf>
    <dxf>
      <border diagonalUp="0" diagonalDown="0">
        <left style="thick">
          <color rgb="FF000000"/>
        </left>
        <right style="thick">
          <color rgb="FF000000"/>
        </right>
        <vertical/>
      </border>
    </dxf>
    <dxf>
      <border diagonalUp="0" diagonalDown="0"/>
    </dxf>
    <dxf>
      <border diagonalUp="0" diagonalDown="0">
        <left style="thin">
          <color rgb="FF000000"/>
        </left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textRotation="0" indent="0" justifyLastLine="0" shrinkToFit="0" readingOrder="0"/>
    </dxf>
    <dxf>
      <border diagonalUp="0" diagonalDown="0"/>
    </dxf>
    <dxf>
      <border diagonalUp="0" diagonalDown="0">
        <left style="thin">
          <color rgb="FF000000"/>
        </left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1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textRotation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AAFFC3"/>
      </font>
      <fill>
        <patternFill>
          <bgColor rgb="FFAAFFC3"/>
        </patternFill>
      </fill>
    </dxf>
    <dxf>
      <font>
        <color rgb="FFF5B041"/>
      </font>
      <fill>
        <patternFill>
          <bgColor rgb="FFF5B041"/>
        </patternFill>
      </fill>
    </dxf>
    <dxf>
      <font>
        <color rgb="FFC0392B"/>
      </font>
      <fill>
        <patternFill>
          <bgColor rgb="FFC0392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AAFFC3"/>
      </font>
      <fill>
        <patternFill>
          <bgColor rgb="FFAAFFC3"/>
        </patternFill>
      </fill>
    </dxf>
    <dxf>
      <font>
        <color rgb="FFF5B041"/>
      </font>
      <fill>
        <patternFill>
          <bgColor rgb="FFF5B041"/>
        </patternFill>
      </fill>
    </dxf>
    <dxf>
      <font>
        <color rgb="FFC0392B"/>
      </font>
      <fill>
        <patternFill>
          <bgColor rgb="FFC0392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theme="5"/>
          <bgColor theme="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6440150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3682543F-50D7-483A-8E88-FF24A8D83957}"/>
            </a:ext>
          </a:extLst>
        </xdr:cNvPr>
        <xdr:cNvSpPr/>
      </xdr:nvSpPr>
      <xdr:spPr>
        <a:xfrm>
          <a:off x="1" y="0"/>
          <a:ext cx="16440150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6440150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68DC8CFD-D33A-465B-87CD-42B1ED253B8F}"/>
            </a:ext>
          </a:extLst>
        </xdr:cNvPr>
        <xdr:cNvSpPr/>
      </xdr:nvSpPr>
      <xdr:spPr>
        <a:xfrm>
          <a:off x="1" y="0"/>
          <a:ext cx="16440150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6440150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8ABE7C24-4329-48E4-97C1-679A55099DA0}"/>
            </a:ext>
          </a:extLst>
        </xdr:cNvPr>
        <xdr:cNvSpPr/>
      </xdr:nvSpPr>
      <xdr:spPr>
        <a:xfrm>
          <a:off x="1" y="0"/>
          <a:ext cx="16440150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6440150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AE48ECF8-367F-4359-A0F7-05C84517C9C8}"/>
            </a:ext>
          </a:extLst>
        </xdr:cNvPr>
        <xdr:cNvSpPr/>
      </xdr:nvSpPr>
      <xdr:spPr>
        <a:xfrm>
          <a:off x="1" y="0"/>
          <a:ext cx="16440150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6440150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3F714184-F72D-4924-99C5-A9A065A8F595}"/>
            </a:ext>
          </a:extLst>
        </xdr:cNvPr>
        <xdr:cNvSpPr/>
      </xdr:nvSpPr>
      <xdr:spPr>
        <a:xfrm>
          <a:off x="1" y="0"/>
          <a:ext cx="16440150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6440150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DF70D4F8-3B5A-4E0D-883D-35B03AFA98D9}"/>
            </a:ext>
          </a:extLst>
        </xdr:cNvPr>
        <xdr:cNvSpPr/>
      </xdr:nvSpPr>
      <xdr:spPr>
        <a:xfrm>
          <a:off x="1" y="0"/>
          <a:ext cx="16440150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7800484" cy="7715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6165128E-0F38-4162-8417-79E5B4FCE5F3}"/>
            </a:ext>
          </a:extLst>
        </xdr:cNvPr>
        <xdr:cNvSpPr/>
      </xdr:nvSpPr>
      <xdr:spPr>
        <a:xfrm>
          <a:off x="0" y="0"/>
          <a:ext cx="17800484" cy="771525"/>
        </a:xfrm>
        <a:prstGeom prst="roundRect">
          <a:avLst>
            <a:gd name="adj" fmla="val 16667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CONTROL DE HORAS MONITORES GOLF</a:t>
          </a:r>
          <a:r>
            <a:rPr lang="en-US" sz="240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LA MORALEJA</a:t>
          </a: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PADEL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1BFEBE-8984-4FA9-B1E9-EA5B148DB915}" name="Tabla145346789" displayName="Tabla145346789" ref="A24:L72" totalsRowShown="0" headerRowDxfId="97" headerRowBorderDxfId="96" tableBorderDxfId="95" totalsRowBorderDxfId="94">
  <tableColumns count="12">
    <tableColumn id="1" xr3:uid="{E3881650-46AF-4A70-B930-E2957E98EC3F}" name="ID" dataDxfId="93"/>
    <tableColumn id="2" xr3:uid="{788AA3B4-C53D-4912-BFC9-04FC3920F3EC}" name="DIAMES" dataDxfId="92"/>
    <tableColumn id="3" xr3:uid="{2EF2EFBA-743C-43AE-9E3D-26F03336B538}" name="INICIO" dataDxfId="91"/>
    <tableColumn id="4" xr3:uid="{A065C373-7CF2-428D-B8AF-BCD5973501D7}" name="FIN" dataDxfId="90"/>
    <tableColumn id="5" xr3:uid="{A21883F2-A09D-465A-8612-D481548C505D}" name="NUMHORAS" dataDxfId="89"/>
    <tableColumn id="6" xr3:uid="{0B83F77D-FE75-4F5C-8807-4C8CC7FD1B9E}" name="ALUMNO 1" dataDxfId="88"/>
    <tableColumn id="7" xr3:uid="{3C63456B-388B-40CA-969D-05335B2C7ED6}" name="ALUMNO 2" dataDxfId="87"/>
    <tableColumn id="8" xr3:uid="{D3CC7106-01C0-40F6-90F9-EFD75D0DC853}" name="ALUMNO 3" dataDxfId="86"/>
    <tableColumn id="9" xr3:uid="{56A43BCD-32DF-4599-94A5-6649B76058DC}" name="ALUMNO 4" dataDxfId="85"/>
    <tableColumn id="10" xr3:uid="{AED1DB95-7A7A-4875-BE2E-A781D6D4FEE2}" name="TIPO" dataDxfId="84"/>
    <tableColumn id="11" xr3:uid="{8239191D-E667-4E6B-B02D-1E54F3F2C524}" name="ESTADO" dataDxfId="83"/>
    <tableColumn id="12" xr3:uid="{4CA78BA2-9E4A-48EB-AD0F-1C8A6659B203}" name="OBSERVACIONES" dataDxfId="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A17-EAA3-4144-88C1-3A5E5CB99F9C}" name="Tabla14534678" displayName="Tabla14534678" ref="A24:U99" totalsRowShown="0" headerRowDxfId="78" headerRowBorderDxfId="77" tableBorderDxfId="76" totalsRowBorderDxfId="75">
  <tableColumns count="21">
    <tableColumn id="1" xr3:uid="{E7B50593-FB15-4D67-A467-C96BE9CC00EF}" name="ID" dataDxfId="74"/>
    <tableColumn id="2" xr3:uid="{DCFB911A-52B6-4C1A-B2D9-49C3365CE1F2}" name="DIAMES" dataDxfId="73"/>
    <tableColumn id="3" xr3:uid="{A16C2674-EA9C-402B-9AD9-5E3FCB74308E}" name="INICIO" dataDxfId="72"/>
    <tableColumn id="4" xr3:uid="{C511FF16-04BB-48AF-B0C8-267AE675D22C}" name="FIN" dataDxfId="71"/>
    <tableColumn id="5" xr3:uid="{0ABCED0F-4645-43FF-91D9-E888424F3ABF}" name="NUMHORAS" dataDxfId="70"/>
    <tableColumn id="6" xr3:uid="{69076E14-CF06-45BC-99FE-580DC96638F1}" name="ALUMNO 1"/>
    <tableColumn id="7" xr3:uid="{EB663EED-9AFD-4A9D-BBE1-637D78D2145E}" name="ALUMNO 2"/>
    <tableColumn id="8" xr3:uid="{ED1EDBA6-43A6-4C3D-8148-5DDDAAB52A81}" name="ALUMNO 3"/>
    <tableColumn id="9" xr3:uid="{C116C990-9199-472C-B259-719988454D28}" name="ALUMNO 4"/>
    <tableColumn id="10" xr3:uid="{9A0567CF-B5EF-49DC-B4C9-A991E60EC0D4}" name="TIPO"/>
    <tableColumn id="11" xr3:uid="{93510BF9-C4D6-4295-AE0C-C6EADB8CF280}" name="ESTADO" dataDxfId="69"/>
    <tableColumn id="12" xr3:uid="{457806E8-6E55-4B64-8FAC-545F4C8B12D2}" name="OBSERVACIONES" dataDxfId="68"/>
    <tableColumn id="13" xr3:uid="{C5DF731D-9983-41EE-86C2-69DEE959B3B1}" name="FECH CLASE"/>
    <tableColumn id="14" xr3:uid="{51D2471A-692D-4543-A96B-00B2A4AF04E4}" name="NUMAl"/>
    <tableColumn id="15" xr3:uid="{66CCCEE4-6854-4ADF-A824-2C3FA41E88F9}" name="CONCEPT EVENT"/>
    <tableColumn id="16" xr3:uid="{E3AAC1D5-969A-4313-927A-BD8A88F0A618}" name="Id_1"/>
    <tableColumn id="17" xr3:uid="{00214D4B-0A9D-468F-97EE-CDF9370EDC59}" name="Id_2"/>
    <tableColumn id="18" xr3:uid="{6F479CCE-02B0-4B76-84F4-C664F557BF82}" name="Id_3"/>
    <tableColumn id="19" xr3:uid="{C19077C4-F49C-439A-A6D1-D85292FA6CEF}" name="Id_4"/>
    <tableColumn id="20" xr3:uid="{208D0AB8-0021-435B-A164-0CA22B7CA310}" name="MON"/>
    <tableColumn id="21" xr3:uid="{89A17505-BB44-4236-AF85-27238B4A7BC8}" name="OK_B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E3959-D3FA-4ECD-86EF-0839DB34A77E}" name="Tabla1453467" displayName="Tabla1453467" ref="A24:U110" totalsRowShown="0" headerRowDxfId="64" headerRowBorderDxfId="63" tableBorderDxfId="62" totalsRowBorderDxfId="61">
  <tableColumns count="21">
    <tableColumn id="1" xr3:uid="{5A50A1D2-1481-4947-BBDF-08BA9ED8F074}" name="ID" dataDxfId="60"/>
    <tableColumn id="2" xr3:uid="{F36FD7B0-5A06-4DCC-BF6E-89AC08C10FD3}" name="DIAMES" dataDxfId="59"/>
    <tableColumn id="3" xr3:uid="{E7510F2D-13C1-4F41-A137-39965A4FC870}" name="INICIO" dataDxfId="58"/>
    <tableColumn id="4" xr3:uid="{69FF19B7-4BF5-40C4-900F-8B41048AC828}" name="FIN" dataDxfId="57"/>
    <tableColumn id="5" xr3:uid="{F24D1CC2-394C-4D2E-89B9-57F819B6432E}" name="NUMHORAS" dataDxfId="56"/>
    <tableColumn id="6" xr3:uid="{882EE6BF-2048-4207-85BF-8F7E2A1BC42C}" name="ALUMNO 1"/>
    <tableColumn id="7" xr3:uid="{A8A01159-3CA6-481F-B77F-5DBFA739BB50}" name="ALUMNO 2"/>
    <tableColumn id="8" xr3:uid="{8659679F-7969-4C90-AF64-1629E51574CA}" name="ALUMNO 3"/>
    <tableColumn id="9" xr3:uid="{2D1FCAF7-3942-4157-9CA2-DED33A35803B}" name="ALUMNO 4"/>
    <tableColumn id="10" xr3:uid="{C2BB8F4F-47C2-4671-BEE0-FE19963DB986}" name="TIPO"/>
    <tableColumn id="11" xr3:uid="{D287E5CB-76CC-4E48-8C47-2D628E5E986D}" name="ESTADO" dataDxfId="55"/>
    <tableColumn id="12" xr3:uid="{646F263F-2D31-4702-A6E4-5A6FC77B80AC}" name="OBSERVACIONES" dataDxfId="54"/>
    <tableColumn id="13" xr3:uid="{9F8EF25E-A85C-448C-9432-EE163F1A26CD}" name="FECH CLASE" dataDxfId="53"/>
    <tableColumn id="14" xr3:uid="{52127425-08B6-4EB1-8502-432B07F499F0}" name="NUMAl" dataDxfId="52"/>
    <tableColumn id="15" xr3:uid="{10623266-3DAF-4644-A2F1-01F43D754DB0}" name="CONCEPT EVENT" dataDxfId="51"/>
    <tableColumn id="16" xr3:uid="{3E150437-5F24-4546-9528-AE477246936A}" name="Id_1" dataDxfId="50"/>
    <tableColumn id="17" xr3:uid="{5FC23D82-FBE9-4483-AEC2-459FEE5A2CA7}" name="Id_2"/>
    <tableColumn id="18" xr3:uid="{D9C0D461-74DE-456C-A655-E10B698C177A}" name="Id_3"/>
    <tableColumn id="19" xr3:uid="{84ACF3DC-ACDE-4171-A69C-51A55A896808}" name="Id_4" dataDxfId="49"/>
    <tableColumn id="20" xr3:uid="{49148360-C5CE-4015-A0F8-20DEB659063D}" name="MON"/>
    <tableColumn id="21" xr3:uid="{C5F682C8-F72F-457B-80E0-FA1D0BF7D301}" name="OK_BD" data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24B27-6CE8-4D1A-A8DC-2C5BA9B52844}" name="Tabla145346" displayName="Tabla145346" ref="A24:U111" totalsRowShown="0" headerRowDxfId="44" headerRowBorderDxfId="43" tableBorderDxfId="42" totalsRowBorderDxfId="41">
  <tableColumns count="21">
    <tableColumn id="1" xr3:uid="{F0ED46CE-FADE-4F61-8E36-865772D52599}" name="ID" dataDxfId="40"/>
    <tableColumn id="2" xr3:uid="{7FB6DBC8-2D0D-4ECE-83F4-0DCB046E746C}" name="DIAMES" dataDxfId="39"/>
    <tableColumn id="3" xr3:uid="{D4956C39-3F4D-41DC-BC5D-41A912095EE4}" name="INICIO" dataDxfId="38"/>
    <tableColumn id="4" xr3:uid="{0AC308C7-9FD4-4555-BE8F-264FE08F68BE}" name="FIN" dataDxfId="37"/>
    <tableColumn id="5" xr3:uid="{11FFC71F-174C-4E8A-83E0-015F58D14DF1}" name="NUMHORAS" dataDxfId="36"/>
    <tableColumn id="6" xr3:uid="{FAFF03D2-77F7-4E50-8A56-CD569EED1BAE}" name="ALUMNO 1"/>
    <tableColumn id="7" xr3:uid="{C6EDC6AC-52E8-4CDB-9576-1270164AB68D}" name="ALUMNO 2"/>
    <tableColumn id="8" xr3:uid="{046A02F6-65E3-4CF7-A5D3-300939EF6A79}" name="ALUMNO 3"/>
    <tableColumn id="9" xr3:uid="{431A6510-9BB1-46D5-85E4-CA1010B2149B}" name="ALUMNO 4"/>
    <tableColumn id="10" xr3:uid="{8CA9768B-CF1D-4C75-834D-0CF2A4B7AF2C}" name="TIPO"/>
    <tableColumn id="11" xr3:uid="{749522EA-18DF-4B74-A56C-7D093A94C07A}" name="ESTADO" dataDxfId="35"/>
    <tableColumn id="12" xr3:uid="{6C79F7BE-52EF-4693-B7CC-4571BCEDAEB6}" name="OBSERVACIONES" dataDxfId="34"/>
    <tableColumn id="13" xr3:uid="{7C4DA174-B50B-4AD8-9757-A3736DE1BBC0}" name="FECH CLASE"/>
    <tableColumn id="14" xr3:uid="{5681EC27-C8FC-4634-8E69-EB584A8E481D}" name="NUMAl"/>
    <tableColumn id="15" xr3:uid="{8094F866-B28F-4390-8BF4-E91AF483B248}" name="CONCEPT EVENT"/>
    <tableColumn id="16" xr3:uid="{C50D9456-053E-47D1-9FBF-1FD30B1D92FB}" name="Id_1"/>
    <tableColumn id="17" xr3:uid="{A173CBEE-E1BF-408F-B3CB-E44ADE8E0D60}" name="Id_2"/>
    <tableColumn id="18" xr3:uid="{3F22BC9E-2362-480C-AC36-0633A328FA93}" name="Id_3"/>
    <tableColumn id="19" xr3:uid="{79B170BB-7C88-4112-A71F-B87F918826FF}" name="Id_4"/>
    <tableColumn id="20" xr3:uid="{A796E536-478A-4F69-AE90-67B26F86F074}" name="MON"/>
    <tableColumn id="21" xr3:uid="{CC0272C3-FDBF-42DF-A1BC-64C7711A9ACB}" name="OK_B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5659E7-FC60-4A18-B161-78D76A28FC19}" name="Tabla14534" displayName="Tabla14534" ref="A24:U110" totalsRowShown="0" headerRowDxfId="30" headerRowBorderDxfId="29" tableBorderDxfId="28" totalsRowBorderDxfId="27">
  <tableColumns count="21">
    <tableColumn id="1" xr3:uid="{4312F888-CFBC-4437-8781-ED809F6FCB8D}" name="ID" dataDxfId="26"/>
    <tableColumn id="2" xr3:uid="{0DE10A39-EF71-436E-B63E-8A16B2A43E4F}" name="DIAMES"/>
    <tableColumn id="3" xr3:uid="{B2B0E927-5497-4128-B518-EF92D48C37D7}" name="INICIO"/>
    <tableColumn id="4" xr3:uid="{DD27BDC5-0DCE-4EE9-B514-CA478AC3E7F4}" name="FIN" dataDxfId="25"/>
    <tableColumn id="5" xr3:uid="{08820F57-E801-433C-9071-0E8C8365B53E}" name="NUMHORAS"/>
    <tableColumn id="6" xr3:uid="{3C6741EF-B840-49D2-B304-F03E734F9553}" name="ALUMNO 1"/>
    <tableColumn id="7" xr3:uid="{41FD8167-4931-4C8E-B068-C93E2AD86F52}" name="ALUMNO 2"/>
    <tableColumn id="8" xr3:uid="{6F330058-02B8-4D91-A300-81A1B9462603}" name="ALUMNO 3"/>
    <tableColumn id="9" xr3:uid="{E77D5542-01F2-4324-8AEA-61E32114B26B}" name="ALUMNO 4"/>
    <tableColumn id="10" xr3:uid="{4F3C9B61-BF96-4B90-A55C-E8A60B254BE2}" name="TIPO"/>
    <tableColumn id="11" xr3:uid="{2A76812C-E6A1-46E9-BEB9-B62FB9FE026E}" name="ESTADO" dataDxfId="24"/>
    <tableColumn id="12" xr3:uid="{9837D394-DDBE-48EB-AFB2-8585B14885CA}" name="OBSERVACIONES" dataDxfId="23"/>
    <tableColumn id="23" xr3:uid="{B8FDCB74-CCE4-498F-94B1-6DA38F541C00}" name="FECH CLASE"/>
    <tableColumn id="24" xr3:uid="{A175E72F-E81B-4485-BD14-16425F12CB72}" name="NUMAl"/>
    <tableColumn id="25" xr3:uid="{2008F00A-ECF4-4B3D-808C-EAEE1BD1B9CA}" name="CONCEPT EVENT"/>
    <tableColumn id="27" xr3:uid="{F4FD91EA-7568-4A97-8D29-58E436AE7791}" name="Id_1"/>
    <tableColumn id="28" xr3:uid="{E3298F34-9B1D-4677-AC3C-29E6925056D2}" name="Id_2"/>
    <tableColumn id="29" xr3:uid="{9A492B5B-F181-4BD8-A496-C135CA10ED5E}" name="Id_3"/>
    <tableColumn id="30" xr3:uid="{B2143FE2-8969-4EBB-B166-547F3542D49D}" name="Id_4"/>
    <tableColumn id="31" xr3:uid="{41259BA6-3A09-47DE-B96C-2BE6D6E4E98C}" name="MON"/>
    <tableColumn id="32" xr3:uid="{EC16E245-D167-47BA-9965-E6F080214DB8}" name="OK_B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E43D55-11B9-4C63-9A24-6ED2FB57B08A}" name="Tabla1453" displayName="Tabla1453" ref="A24:U137" totalsRowShown="0" headerRowDxfId="19" headerRowBorderDxfId="18" tableBorderDxfId="17" totalsRowBorderDxfId="16">
  <tableColumns count="21">
    <tableColumn id="1" xr3:uid="{D8005D1F-248A-4755-8578-11EBEF7B0643}" name="ID" dataDxfId="15"/>
    <tableColumn id="2" xr3:uid="{98770B89-44A7-44A1-BC1A-F8F3FA7924C6}" name="DIAMES" dataDxfId="14"/>
    <tableColumn id="3" xr3:uid="{405BD07E-FCED-4F91-B3DD-E85E91D49EBD}" name="INICIO"/>
    <tableColumn id="4" xr3:uid="{CE24BAB2-D90E-4067-89F6-CB18735FD070}" name="FIN"/>
    <tableColumn id="5" xr3:uid="{8C1BA8E4-65EF-4B25-B861-26F3A1F130D7}" name="NUMHORAS"/>
    <tableColumn id="6" xr3:uid="{2FB4E308-DDD9-4732-B025-779F73AA162D}" name="ALUMNO 1"/>
    <tableColumn id="7" xr3:uid="{0C5F3BA9-D17F-4A53-8338-3FCD2FD5911C}" name="ALUMNO 2"/>
    <tableColumn id="8" xr3:uid="{C5A8B55C-0233-4AE4-8D1D-9AD358006A70}" name="ALUMNO 3"/>
    <tableColumn id="9" xr3:uid="{5FAC48DD-3E98-40E5-B007-40C845398877}" name="ALUMNO 4"/>
    <tableColumn id="10" xr3:uid="{2204B5EB-B518-4008-B09D-8F44DC615B62}" name="TIPO"/>
    <tableColumn id="11" xr3:uid="{A7B3B8F3-2E70-45F3-B233-075F54100387}" name="ESTADO"/>
    <tableColumn id="12" xr3:uid="{7053AE72-64C7-4849-8239-38AA891761AF}" name="OBSERVACIONES"/>
    <tableColumn id="13" xr3:uid="{5BD1994E-1A13-4FE4-9B9A-D3258FE4A772}" name="FECH CLASE"/>
    <tableColumn id="14" xr3:uid="{1CB81AD6-0556-4288-9135-8D53AEA26C62}" name="NUMAl"/>
    <tableColumn id="15" xr3:uid="{F5DB997A-D48F-49DA-A797-17CFBA519CD5}" name="CONCEPT EVENT"/>
    <tableColumn id="16" xr3:uid="{C2CC5626-ED4D-4CB2-9474-0623A7CF01AF}" name="Id_1"/>
    <tableColumn id="17" xr3:uid="{553588A1-B22B-42B5-8C28-EB40AFE4C5B3}" name="Id_2"/>
    <tableColumn id="18" xr3:uid="{71A6D17B-82AB-4711-9F72-F9BA2CB98A6E}" name="Id_3"/>
    <tableColumn id="19" xr3:uid="{ED85DDAE-E0A7-49E4-9BD6-86C7B624383E}" name="Id_4"/>
    <tableColumn id="20" xr3:uid="{447CBF22-3D2B-4360-B279-0DB656421806}" name="MON"/>
    <tableColumn id="21" xr3:uid="{EDDC08DE-2FC6-4108-A45F-0F91EE297797}" name="OK_B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6DFD2-EF82-4C16-B07A-F84BD6B06604}" name="Tabla145" displayName="Tabla145" ref="A24:U111" totalsRowShown="0" headerRowDxfId="10" headerRowBorderDxfId="9" tableBorderDxfId="8" totalsRowBorderDxfId="7">
  <tableColumns count="21">
    <tableColumn id="1" xr3:uid="{85F3CB53-FB57-4523-BA6A-3BA047588757}" name="ID" dataDxfId="6"/>
    <tableColumn id="2" xr3:uid="{31DC856A-CA05-4DCE-9BDE-E265D1F37FF1}" name="DIAMES" dataDxfId="5"/>
    <tableColumn id="3" xr3:uid="{9A18E7FF-1F51-421F-B186-1D0B3B056371}" name="INICIO" dataDxfId="4"/>
    <tableColumn id="4" xr3:uid="{DB3A49DE-4BD5-4F53-A1D7-BA7929D32EEE}" name="FIN" dataDxfId="3"/>
    <tableColumn id="5" xr3:uid="{F8130773-932A-4A7E-AE2B-AECF42507C98}" name="NUMHORAS" dataDxfId="2"/>
    <tableColumn id="6" xr3:uid="{F5C87007-61D6-4293-8A6D-7F631AD3C7E8}" name="ALUMNO 1"/>
    <tableColumn id="7" xr3:uid="{54B73EF5-252A-4621-8F74-8422F7B39F2F}" name="ALUMNO 2"/>
    <tableColumn id="8" xr3:uid="{6E16E82A-72D8-4953-B1A4-401DE6A44F41}" name="ALUMNO 3"/>
    <tableColumn id="9" xr3:uid="{BE974E6D-9849-459A-8C37-12835666DF9D}" name="ALUMNO 4"/>
    <tableColumn id="10" xr3:uid="{5D341C15-4B10-4EA6-88BE-E01C77BFC3C2}" name="TIPO"/>
    <tableColumn id="11" xr3:uid="{18B1C6CB-3236-49E3-9602-D0774CC42EA4}" name="ESTADO" dataDxfId="1"/>
    <tableColumn id="12" xr3:uid="{A0C292F8-7565-41A0-82B8-85C24CFC9F63}" name="OBSERVACIONES" dataDxfId="0"/>
    <tableColumn id="24" xr3:uid="{63280227-5ED3-40D0-A70B-1308411E1EBC}" name="FECH CLASE"/>
    <tableColumn id="25" xr3:uid="{3B68DD42-2B1D-4BDA-958A-12608743B3CA}" name="NUMAl"/>
    <tableColumn id="26" xr3:uid="{BCFE49C3-9BF9-4C6D-8BEE-4ACF52E48637}" name="CONCEPT EVENT"/>
    <tableColumn id="27" xr3:uid="{84A5366B-13F8-4DE8-8550-B0563F7A808B}" name="Id_1"/>
    <tableColumn id="28" xr3:uid="{30D7841C-D749-482A-B9CB-53600DD05C0C}" name="Id_2"/>
    <tableColumn id="29" xr3:uid="{C4AC5291-199C-448F-A03A-C70B6EC00850}" name="Id_3"/>
    <tableColumn id="30" xr3:uid="{332E980B-7774-43DC-B32F-45C48EF88D72}" name="Id_4"/>
    <tableColumn id="31" xr3:uid="{A944AE32-30BA-47D4-A725-0C3C0BFE1B60}" name="MON"/>
    <tableColumn id="32" xr3:uid="{D72BEC1D-FA33-4D78-8787-8785081BDF0E}" name="OK_B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7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28"/>
  <sheetViews>
    <sheetView showGridLines="0" workbookViewId="0">
      <selection activeCell="H12" sqref="H12"/>
    </sheetView>
  </sheetViews>
  <sheetFormatPr baseColWidth="10" defaultRowHeight="15" x14ac:dyDescent="0.25"/>
  <cols>
    <col min="1" max="1" width="15.28515625" customWidth="1"/>
    <col min="2" max="2" width="18.85546875" customWidth="1"/>
  </cols>
  <sheetData>
    <row r="1" spans="1:3" x14ac:dyDescent="0.25">
      <c r="A1" t="s">
        <v>30</v>
      </c>
    </row>
    <row r="3" spans="1:3" x14ac:dyDescent="0.25">
      <c r="A3" t="s">
        <v>63</v>
      </c>
    </row>
    <row r="7" spans="1:3" x14ac:dyDescent="0.25">
      <c r="A7" s="3" t="s">
        <v>56</v>
      </c>
    </row>
    <row r="8" spans="1:3" x14ac:dyDescent="0.25">
      <c r="A8" s="127" t="s">
        <v>33</v>
      </c>
      <c r="B8" s="127"/>
      <c r="C8" t="s">
        <v>46</v>
      </c>
    </row>
    <row r="9" spans="1:3" x14ac:dyDescent="0.25">
      <c r="A9" s="127" t="s">
        <v>34</v>
      </c>
      <c r="B9" s="127"/>
      <c r="C9" t="s">
        <v>47</v>
      </c>
    </row>
    <row r="10" spans="1:3" x14ac:dyDescent="0.25">
      <c r="A10" s="127" t="s">
        <v>35</v>
      </c>
      <c r="B10" s="127"/>
      <c r="C10" t="s">
        <v>48</v>
      </c>
    </row>
    <row r="11" spans="1:3" x14ac:dyDescent="0.25">
      <c r="A11" s="127" t="s">
        <v>36</v>
      </c>
      <c r="B11" s="127"/>
      <c r="C11" t="s">
        <v>49</v>
      </c>
    </row>
    <row r="12" spans="1:3" x14ac:dyDescent="0.25">
      <c r="A12" s="127" t="s">
        <v>37</v>
      </c>
      <c r="B12" s="127"/>
      <c r="C12" t="s">
        <v>50</v>
      </c>
    </row>
    <row r="13" spans="1:3" x14ac:dyDescent="0.25">
      <c r="A13" s="127" t="s">
        <v>38</v>
      </c>
      <c r="B13" s="127"/>
      <c r="C13" t="s">
        <v>51</v>
      </c>
    </row>
    <row r="14" spans="1:3" x14ac:dyDescent="0.25">
      <c r="A14" s="127" t="s">
        <v>32</v>
      </c>
      <c r="B14" s="127"/>
      <c r="C14" t="s">
        <v>52</v>
      </c>
    </row>
    <row r="15" spans="1:3" x14ac:dyDescent="0.25">
      <c r="A15" s="127"/>
      <c r="B15" s="127"/>
    </row>
    <row r="16" spans="1:3" x14ac:dyDescent="0.25">
      <c r="A16" s="127" t="s">
        <v>39</v>
      </c>
      <c r="B16" s="127"/>
      <c r="C16" t="s">
        <v>45</v>
      </c>
    </row>
    <row r="17" spans="1:3" x14ac:dyDescent="0.25">
      <c r="A17" s="127"/>
      <c r="B17" s="127"/>
    </row>
    <row r="18" spans="1:3" x14ac:dyDescent="0.25">
      <c r="A18" s="127" t="s">
        <v>40</v>
      </c>
      <c r="B18" s="127"/>
      <c r="C18" t="s">
        <v>53</v>
      </c>
    </row>
    <row r="19" spans="1:3" x14ac:dyDescent="0.25">
      <c r="A19" s="127" t="s">
        <v>41</v>
      </c>
      <c r="B19" s="127"/>
      <c r="C19" t="s">
        <v>44</v>
      </c>
    </row>
    <row r="20" spans="1:3" x14ac:dyDescent="0.25">
      <c r="A20" s="127" t="s">
        <v>42</v>
      </c>
      <c r="B20" s="127"/>
      <c r="C20" t="s">
        <v>43</v>
      </c>
    </row>
    <row r="23" spans="1:3" x14ac:dyDescent="0.25">
      <c r="A23" s="3" t="s">
        <v>57</v>
      </c>
    </row>
    <row r="24" spans="1:3" x14ac:dyDescent="0.25">
      <c r="A24" s="5" t="s">
        <v>58</v>
      </c>
      <c r="B24" s="4" t="s">
        <v>31</v>
      </c>
    </row>
    <row r="25" spans="1:3" x14ac:dyDescent="0.25">
      <c r="A25" s="5" t="s">
        <v>59</v>
      </c>
      <c r="B25" s="4" t="s">
        <v>33</v>
      </c>
    </row>
    <row r="26" spans="1:3" x14ac:dyDescent="0.25">
      <c r="A26" s="5" t="s">
        <v>60</v>
      </c>
      <c r="B26" s="4" t="s">
        <v>32</v>
      </c>
    </row>
    <row r="27" spans="1:3" x14ac:dyDescent="0.25">
      <c r="A27" s="5" t="s">
        <v>61</v>
      </c>
      <c r="B27" s="4" t="s">
        <v>54</v>
      </c>
    </row>
    <row r="28" spans="1:3" x14ac:dyDescent="0.25">
      <c r="A28" s="5" t="s">
        <v>62</v>
      </c>
      <c r="B28" s="4" t="s">
        <v>55</v>
      </c>
    </row>
  </sheetData>
  <mergeCells count="13">
    <mergeCell ref="A13:B13"/>
    <mergeCell ref="A8:B8"/>
    <mergeCell ref="A9:B9"/>
    <mergeCell ref="A10:B10"/>
    <mergeCell ref="A11:B11"/>
    <mergeCell ref="A12:B12"/>
    <mergeCell ref="A20:B20"/>
    <mergeCell ref="A14:B14"/>
    <mergeCell ref="A15:B15"/>
    <mergeCell ref="A16:B16"/>
    <mergeCell ref="A17:B17"/>
    <mergeCell ref="A18:B18"/>
    <mergeCell ref="A19:B19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L1000"/>
  <sheetViews>
    <sheetView workbookViewId="0">
      <selection activeCell="H29" sqref="H29:H30"/>
    </sheetView>
  </sheetViews>
  <sheetFormatPr baseColWidth="10" defaultColWidth="14.42578125" defaultRowHeight="15" customHeight="1" x14ac:dyDescent="0.2"/>
  <cols>
    <col min="1" max="1" width="10.5703125" style="2" customWidth="1"/>
    <col min="2" max="2" width="13.5703125" style="2" customWidth="1"/>
    <col min="3" max="5" width="10.5703125" style="2" customWidth="1"/>
    <col min="6" max="6" width="15.85546875" style="2" customWidth="1"/>
    <col min="7" max="7" width="18" style="2" customWidth="1"/>
    <col min="8" max="26" width="10.5703125" style="2" customWidth="1"/>
    <col min="27" max="16384" width="14.42578125" style="2"/>
  </cols>
  <sheetData>
    <row r="1" spans="1:8" ht="12" customHeight="1" thickBot="1" x14ac:dyDescent="0.25">
      <c r="A1" s="7" t="s">
        <v>0</v>
      </c>
      <c r="B1" s="8" t="s">
        <v>2</v>
      </c>
      <c r="C1" s="8" t="s">
        <v>73</v>
      </c>
      <c r="D1" s="8" t="s">
        <v>74</v>
      </c>
      <c r="E1" s="8" t="s">
        <v>75</v>
      </c>
      <c r="F1" s="8" t="s">
        <v>3</v>
      </c>
      <c r="G1" s="8" t="s">
        <v>4</v>
      </c>
      <c r="H1" s="8" t="s">
        <v>76</v>
      </c>
    </row>
    <row r="2" spans="1:8" ht="12" customHeight="1" x14ac:dyDescent="0.2">
      <c r="A2" s="9" t="s">
        <v>77</v>
      </c>
      <c r="B2" s="10" t="s">
        <v>78</v>
      </c>
      <c r="C2" s="11">
        <v>1</v>
      </c>
      <c r="D2" s="12" t="s">
        <v>79</v>
      </c>
      <c r="E2" s="9">
        <v>0.5</v>
      </c>
      <c r="F2" s="11" t="s">
        <v>7</v>
      </c>
      <c r="G2" s="9" t="s">
        <v>8</v>
      </c>
      <c r="H2" s="11" t="s">
        <v>80</v>
      </c>
    </row>
    <row r="3" spans="1:8" ht="12" customHeight="1" x14ac:dyDescent="0.2">
      <c r="A3" s="9" t="s">
        <v>1</v>
      </c>
      <c r="B3" s="13" t="s">
        <v>29</v>
      </c>
      <c r="C3" s="9">
        <v>2</v>
      </c>
      <c r="D3" s="12" t="s">
        <v>81</v>
      </c>
      <c r="E3" s="9">
        <v>1</v>
      </c>
      <c r="F3" s="9" t="s">
        <v>15</v>
      </c>
      <c r="G3" s="9" t="s">
        <v>67</v>
      </c>
      <c r="H3" s="9" t="s">
        <v>82</v>
      </c>
    </row>
    <row r="4" spans="1:8" ht="12" customHeight="1" x14ac:dyDescent="0.2">
      <c r="A4" s="9" t="s">
        <v>83</v>
      </c>
      <c r="B4" s="13" t="s">
        <v>84</v>
      </c>
      <c r="C4" s="11">
        <v>3</v>
      </c>
      <c r="D4" s="12" t="s">
        <v>85</v>
      </c>
      <c r="E4" s="9">
        <v>1.5</v>
      </c>
      <c r="F4" s="9" t="s">
        <v>86</v>
      </c>
      <c r="H4" s="11" t="s">
        <v>87</v>
      </c>
    </row>
    <row r="5" spans="1:8" ht="12" customHeight="1" x14ac:dyDescent="0.2">
      <c r="A5" s="9" t="s">
        <v>88</v>
      </c>
      <c r="B5" s="13" t="s">
        <v>71</v>
      </c>
      <c r="C5" s="9">
        <v>4</v>
      </c>
      <c r="D5" s="12" t="s">
        <v>89</v>
      </c>
      <c r="E5" s="9">
        <v>2</v>
      </c>
      <c r="F5" s="9" t="s">
        <v>18</v>
      </c>
      <c r="H5" s="9" t="s">
        <v>90</v>
      </c>
    </row>
    <row r="6" spans="1:8" ht="12" customHeight="1" x14ac:dyDescent="0.2">
      <c r="A6" s="9"/>
      <c r="B6" s="13" t="s">
        <v>64</v>
      </c>
      <c r="C6" s="11">
        <v>5</v>
      </c>
      <c r="D6" s="12" t="s">
        <v>72</v>
      </c>
      <c r="E6" s="9">
        <v>3</v>
      </c>
      <c r="F6" s="9" t="s">
        <v>21</v>
      </c>
      <c r="H6" s="11" t="s">
        <v>91</v>
      </c>
    </row>
    <row r="7" spans="1:8" ht="12" customHeight="1" x14ac:dyDescent="0.2">
      <c r="A7" s="9"/>
      <c r="B7" s="14" t="s">
        <v>92</v>
      </c>
      <c r="C7" s="9">
        <v>6</v>
      </c>
      <c r="D7" s="12" t="s">
        <v>93</v>
      </c>
      <c r="E7" s="9">
        <v>4</v>
      </c>
      <c r="F7" s="9" t="s">
        <v>28</v>
      </c>
      <c r="H7" s="9" t="s">
        <v>94</v>
      </c>
    </row>
    <row r="8" spans="1:8" ht="12" customHeight="1" x14ac:dyDescent="0.2">
      <c r="A8" s="9"/>
      <c r="B8" s="9" t="s">
        <v>95</v>
      </c>
      <c r="C8" s="10">
        <v>7</v>
      </c>
      <c r="D8" s="12" t="s">
        <v>13</v>
      </c>
      <c r="E8" s="9">
        <v>5</v>
      </c>
      <c r="F8" s="9" t="s">
        <v>96</v>
      </c>
      <c r="H8" s="9" t="s">
        <v>97</v>
      </c>
    </row>
    <row r="9" spans="1:8" ht="12" customHeight="1" x14ac:dyDescent="0.2">
      <c r="B9" s="9" t="s">
        <v>98</v>
      </c>
      <c r="C9" s="13">
        <v>8</v>
      </c>
      <c r="D9" s="12" t="s">
        <v>69</v>
      </c>
      <c r="E9" s="9">
        <v>6</v>
      </c>
      <c r="F9" s="9" t="s">
        <v>65</v>
      </c>
      <c r="H9" s="12" t="s">
        <v>99</v>
      </c>
    </row>
    <row r="10" spans="1:8" ht="12" customHeight="1" x14ac:dyDescent="0.2">
      <c r="B10" s="11" t="s">
        <v>100</v>
      </c>
      <c r="C10" s="9">
        <v>9</v>
      </c>
      <c r="D10" s="12" t="s">
        <v>24</v>
      </c>
      <c r="E10" s="9">
        <v>7</v>
      </c>
      <c r="F10" s="1"/>
      <c r="H10" s="12" t="s">
        <v>101</v>
      </c>
    </row>
    <row r="11" spans="1:8" ht="12" customHeight="1" x14ac:dyDescent="0.2">
      <c r="B11" s="9" t="s">
        <v>102</v>
      </c>
      <c r="C11" s="11">
        <v>10</v>
      </c>
      <c r="D11" s="12" t="s">
        <v>14</v>
      </c>
      <c r="E11" s="9">
        <v>8</v>
      </c>
      <c r="H11" s="12" t="s">
        <v>103</v>
      </c>
    </row>
    <row r="12" spans="1:8" ht="12" customHeight="1" x14ac:dyDescent="0.2">
      <c r="B12" s="9" t="s">
        <v>104</v>
      </c>
      <c r="C12" s="9">
        <v>11</v>
      </c>
      <c r="D12" s="12" t="s">
        <v>25</v>
      </c>
      <c r="E12" s="9">
        <v>9</v>
      </c>
      <c r="H12" s="12" t="s">
        <v>105</v>
      </c>
    </row>
    <row r="13" spans="1:8" ht="12" customHeight="1" x14ac:dyDescent="0.2">
      <c r="B13" s="9" t="s">
        <v>106</v>
      </c>
      <c r="C13" s="9">
        <v>12</v>
      </c>
      <c r="D13" s="12" t="s">
        <v>66</v>
      </c>
      <c r="E13" s="9">
        <v>10</v>
      </c>
      <c r="H13" s="12" t="s">
        <v>107</v>
      </c>
    </row>
    <row r="14" spans="1:8" ht="12" customHeight="1" x14ac:dyDescent="0.2">
      <c r="C14" s="11">
        <v>13</v>
      </c>
      <c r="D14" s="12" t="s">
        <v>19</v>
      </c>
      <c r="H14" s="12" t="s">
        <v>108</v>
      </c>
    </row>
    <row r="15" spans="1:8" ht="12" customHeight="1" x14ac:dyDescent="0.2">
      <c r="C15" s="9">
        <v>14</v>
      </c>
      <c r="D15" s="12" t="s">
        <v>26</v>
      </c>
      <c r="H15" s="12" t="s">
        <v>109</v>
      </c>
    </row>
    <row r="16" spans="1:8" ht="12" customHeight="1" x14ac:dyDescent="0.2">
      <c r="C16" s="9">
        <v>15</v>
      </c>
      <c r="D16" s="12" t="s">
        <v>9</v>
      </c>
      <c r="H16" s="12" t="s">
        <v>110</v>
      </c>
    </row>
    <row r="17" spans="3:12" ht="12" customHeight="1" x14ac:dyDescent="0.2">
      <c r="C17" s="11">
        <v>16</v>
      </c>
      <c r="D17" s="12" t="s">
        <v>70</v>
      </c>
      <c r="H17" s="12" t="s">
        <v>111</v>
      </c>
    </row>
    <row r="18" spans="3:12" ht="12" customHeight="1" x14ac:dyDescent="0.2">
      <c r="C18" s="9">
        <v>17</v>
      </c>
      <c r="D18" s="12" t="s">
        <v>10</v>
      </c>
      <c r="H18" s="12" t="s">
        <v>112</v>
      </c>
    </row>
    <row r="19" spans="3:12" ht="12" customHeight="1" x14ac:dyDescent="0.2">
      <c r="C19" s="11">
        <v>18</v>
      </c>
      <c r="D19" s="12" t="s">
        <v>5</v>
      </c>
      <c r="H19" s="12" t="s">
        <v>113</v>
      </c>
    </row>
    <row r="20" spans="3:12" ht="12" customHeight="1" x14ac:dyDescent="0.2">
      <c r="C20" s="11">
        <v>19</v>
      </c>
      <c r="D20" s="12" t="s">
        <v>20</v>
      </c>
      <c r="H20" s="12" t="s">
        <v>114</v>
      </c>
    </row>
    <row r="21" spans="3:12" ht="12" customHeight="1" x14ac:dyDescent="0.2">
      <c r="C21" s="9">
        <v>20</v>
      </c>
      <c r="D21" s="12" t="s">
        <v>6</v>
      </c>
      <c r="H21" s="12" t="s">
        <v>115</v>
      </c>
    </row>
    <row r="22" spans="3:12" ht="12" customHeight="1" x14ac:dyDescent="0.2">
      <c r="C22" s="11">
        <v>21</v>
      </c>
      <c r="D22" s="12" t="s">
        <v>11</v>
      </c>
      <c r="H22" s="12" t="s">
        <v>116</v>
      </c>
    </row>
    <row r="23" spans="3:12" ht="12" customHeight="1" x14ac:dyDescent="0.2">
      <c r="C23" s="9">
        <v>22</v>
      </c>
      <c r="D23" s="12" t="s">
        <v>22</v>
      </c>
      <c r="H23" s="12" t="s">
        <v>117</v>
      </c>
    </row>
    <row r="24" spans="3:12" ht="12" customHeight="1" x14ac:dyDescent="0.2">
      <c r="C24" s="11">
        <v>23</v>
      </c>
      <c r="D24" s="12" t="s">
        <v>16</v>
      </c>
    </row>
    <row r="25" spans="3:12" ht="12" customHeight="1" x14ac:dyDescent="0.2">
      <c r="C25" s="9">
        <v>24</v>
      </c>
      <c r="D25" s="12" t="s">
        <v>27</v>
      </c>
    </row>
    <row r="26" spans="3:12" ht="12" customHeight="1" x14ac:dyDescent="0.2">
      <c r="C26" s="11">
        <v>25</v>
      </c>
      <c r="D26" s="12" t="s">
        <v>23</v>
      </c>
    </row>
    <row r="27" spans="3:12" ht="12" customHeight="1" x14ac:dyDescent="0.2">
      <c r="C27" s="9">
        <v>26</v>
      </c>
      <c r="D27" s="12" t="s">
        <v>68</v>
      </c>
    </row>
    <row r="28" spans="3:12" ht="12" customHeight="1" x14ac:dyDescent="0.2">
      <c r="C28" s="11">
        <v>27</v>
      </c>
      <c r="D28" s="12" t="s">
        <v>12</v>
      </c>
    </row>
    <row r="29" spans="3:12" ht="12" customHeight="1" x14ac:dyDescent="0.2">
      <c r="C29" s="9">
        <v>28</v>
      </c>
      <c r="D29" s="12" t="s">
        <v>118</v>
      </c>
    </row>
    <row r="30" spans="3:12" ht="12" customHeight="1" x14ac:dyDescent="0.2">
      <c r="C30" s="9">
        <v>29</v>
      </c>
      <c r="D30" s="12" t="s">
        <v>17</v>
      </c>
    </row>
    <row r="31" spans="3:12" ht="12" customHeight="1" x14ac:dyDescent="0.2">
      <c r="C31" s="11">
        <v>30</v>
      </c>
      <c r="D31" s="12" t="s">
        <v>119</v>
      </c>
      <c r="I31" s="15"/>
      <c r="K31" s="1"/>
      <c r="L31" s="6"/>
    </row>
    <row r="32" spans="3:12" ht="12" customHeight="1" x14ac:dyDescent="0.2">
      <c r="C32" s="9">
        <v>31</v>
      </c>
      <c r="D32" s="12" t="s">
        <v>120</v>
      </c>
      <c r="I32" s="15"/>
      <c r="L32" s="1"/>
    </row>
    <row r="33" spans="3:12" ht="12" customHeight="1" x14ac:dyDescent="0.2">
      <c r="C33" s="9">
        <v>32</v>
      </c>
      <c r="D33" s="12" t="s">
        <v>121</v>
      </c>
      <c r="I33" s="15"/>
      <c r="L33" s="1"/>
    </row>
    <row r="34" spans="3:12" ht="12" customHeight="1" x14ac:dyDescent="0.2">
      <c r="C34" s="9">
        <v>33</v>
      </c>
      <c r="D34" s="12" t="s">
        <v>122</v>
      </c>
      <c r="I34" s="15"/>
      <c r="L34" s="1"/>
    </row>
    <row r="35" spans="3:12" ht="12" customHeight="1" x14ac:dyDescent="0.2">
      <c r="I35" s="15"/>
      <c r="J35" s="1"/>
      <c r="L35" s="1"/>
    </row>
    <row r="36" spans="3:12" ht="12" customHeight="1" x14ac:dyDescent="0.2">
      <c r="I36" s="15"/>
      <c r="J36" s="1"/>
      <c r="L36" s="1"/>
    </row>
    <row r="37" spans="3:12" ht="12" customHeight="1" x14ac:dyDescent="0.2">
      <c r="I37" s="15"/>
      <c r="J37" s="1"/>
      <c r="L37" s="1"/>
    </row>
    <row r="38" spans="3:12" ht="12" customHeight="1" x14ac:dyDescent="0.2">
      <c r="I38" s="15"/>
      <c r="J38" s="1"/>
      <c r="L38" s="1"/>
    </row>
    <row r="39" spans="3:12" ht="12" customHeight="1" x14ac:dyDescent="0.2">
      <c r="I39" s="15"/>
      <c r="J39" s="1"/>
      <c r="K39" s="1"/>
      <c r="L39" s="1"/>
    </row>
    <row r="40" spans="3:12" ht="12" customHeight="1" x14ac:dyDescent="0.2">
      <c r="I40" s="15"/>
      <c r="J40" s="1"/>
      <c r="K40" s="1"/>
      <c r="L40" s="1"/>
    </row>
    <row r="41" spans="3:12" ht="12" customHeight="1" x14ac:dyDescent="0.2">
      <c r="I41" s="15"/>
      <c r="J41" s="1"/>
      <c r="K41" s="1"/>
      <c r="L41" s="1"/>
    </row>
    <row r="42" spans="3:12" ht="12" customHeight="1" x14ac:dyDescent="0.2">
      <c r="I42" s="15"/>
      <c r="J42" s="1"/>
      <c r="K42" s="1"/>
      <c r="L42" s="1"/>
    </row>
    <row r="43" spans="3:12" ht="12" customHeight="1" x14ac:dyDescent="0.2">
      <c r="I43" s="15"/>
      <c r="K43" s="1"/>
      <c r="L43" s="1"/>
    </row>
    <row r="44" spans="3:12" ht="12" customHeight="1" x14ac:dyDescent="0.2">
      <c r="I44" s="15"/>
      <c r="K44" s="1"/>
      <c r="L44" s="1"/>
    </row>
    <row r="45" spans="3:12" ht="12" customHeight="1" x14ac:dyDescent="0.2">
      <c r="I45" s="15"/>
      <c r="K45" s="1"/>
      <c r="L45" s="1"/>
    </row>
    <row r="46" spans="3:12" ht="12" customHeight="1" x14ac:dyDescent="0.2">
      <c r="I46" s="15"/>
      <c r="K46" s="1"/>
      <c r="L46" s="1"/>
    </row>
    <row r="47" spans="3:12" ht="12" customHeight="1" x14ac:dyDescent="0.2">
      <c r="I47" s="15"/>
      <c r="K47" s="1"/>
      <c r="L47" s="1"/>
    </row>
    <row r="48" spans="3:12" ht="12" customHeight="1" x14ac:dyDescent="0.2">
      <c r="I48" s="15"/>
      <c r="K48" s="1"/>
      <c r="L48" s="1"/>
    </row>
    <row r="49" spans="8:12" ht="12" customHeight="1" x14ac:dyDescent="0.2">
      <c r="I49" s="15"/>
      <c r="K49" s="1"/>
      <c r="L49" s="1"/>
    </row>
    <row r="50" spans="8:12" ht="12" customHeight="1" x14ac:dyDescent="0.2">
      <c r="I50" s="15"/>
      <c r="K50" s="1"/>
      <c r="L50" s="1"/>
    </row>
    <row r="51" spans="8:12" ht="12" customHeight="1" x14ac:dyDescent="0.2">
      <c r="I51" s="15"/>
      <c r="K51" s="1"/>
      <c r="L51" s="1"/>
    </row>
    <row r="52" spans="8:12" ht="12" customHeight="1" x14ac:dyDescent="0.2">
      <c r="I52" s="15"/>
      <c r="K52" s="1"/>
      <c r="L52" s="1"/>
    </row>
    <row r="53" spans="8:12" ht="12" customHeight="1" x14ac:dyDescent="0.2">
      <c r="I53" s="15"/>
      <c r="K53" s="1"/>
      <c r="L53" s="1"/>
    </row>
    <row r="54" spans="8:12" ht="12" customHeight="1" x14ac:dyDescent="0.2">
      <c r="I54" s="15"/>
      <c r="K54" s="1"/>
      <c r="L54" s="1"/>
    </row>
    <row r="55" spans="8:12" ht="12" customHeight="1" x14ac:dyDescent="0.2">
      <c r="I55" s="15"/>
      <c r="K55" s="1"/>
      <c r="L55" s="1"/>
    </row>
    <row r="56" spans="8:12" ht="12" customHeight="1" x14ac:dyDescent="0.2">
      <c r="I56" s="15"/>
      <c r="K56" s="1"/>
      <c r="L56" s="1"/>
    </row>
    <row r="57" spans="8:12" ht="12" customHeight="1" x14ac:dyDescent="0.2">
      <c r="I57" s="15"/>
      <c r="K57" s="1"/>
      <c r="L57" s="1"/>
    </row>
    <row r="58" spans="8:12" ht="12" customHeight="1" x14ac:dyDescent="0.2">
      <c r="I58" s="15"/>
      <c r="K58" s="1"/>
      <c r="L58" s="1"/>
    </row>
    <row r="59" spans="8:12" ht="12" customHeight="1" x14ac:dyDescent="0.2">
      <c r="I59" s="15"/>
      <c r="K59" s="1"/>
      <c r="L59" s="1"/>
    </row>
    <row r="60" spans="8:12" ht="12" customHeight="1" x14ac:dyDescent="0.2">
      <c r="I60" s="15"/>
      <c r="K60" s="1"/>
      <c r="L60" s="1"/>
    </row>
    <row r="61" spans="8:12" ht="12" customHeight="1" x14ac:dyDescent="0.2">
      <c r="I61" s="15"/>
      <c r="K61" s="1"/>
      <c r="L61" s="1"/>
    </row>
    <row r="62" spans="8:12" ht="12" customHeight="1" x14ac:dyDescent="0.2">
      <c r="I62" s="15"/>
      <c r="K62" s="1"/>
      <c r="L62" s="1"/>
    </row>
    <row r="63" spans="8:12" ht="12" customHeight="1" x14ac:dyDescent="0.2">
      <c r="I63" s="15"/>
      <c r="K63" s="1"/>
      <c r="L63" s="1"/>
    </row>
    <row r="64" spans="8:12" ht="12" customHeight="1" x14ac:dyDescent="0.2">
      <c r="H64" s="15"/>
      <c r="I64" s="15"/>
      <c r="K64" s="1"/>
      <c r="L64" s="1"/>
    </row>
    <row r="65" spans="9:12" ht="12" customHeight="1" x14ac:dyDescent="0.2">
      <c r="I65" s="15"/>
      <c r="K65" s="1"/>
      <c r="L65" s="1"/>
    </row>
    <row r="66" spans="9:12" ht="12" customHeight="1" x14ac:dyDescent="0.2">
      <c r="I66" s="15"/>
      <c r="K66" s="1"/>
      <c r="L66" s="1"/>
    </row>
    <row r="67" spans="9:12" ht="12" customHeight="1" x14ac:dyDescent="0.2">
      <c r="I67" s="15"/>
      <c r="K67" s="1"/>
      <c r="L67" s="1"/>
    </row>
    <row r="68" spans="9:12" ht="12" customHeight="1" x14ac:dyDescent="0.2">
      <c r="I68" s="15"/>
      <c r="K68" s="1"/>
      <c r="L68" s="1"/>
    </row>
    <row r="69" spans="9:12" ht="12" customHeight="1" x14ac:dyDescent="0.2">
      <c r="I69" s="15"/>
      <c r="K69" s="1"/>
      <c r="L69" s="1"/>
    </row>
    <row r="70" spans="9:12" ht="12" customHeight="1" x14ac:dyDescent="0.2">
      <c r="I70" s="15"/>
      <c r="K70" s="1"/>
      <c r="L70" s="1"/>
    </row>
    <row r="71" spans="9:12" ht="12" customHeight="1" x14ac:dyDescent="0.2">
      <c r="I71" s="15"/>
      <c r="K71" s="1"/>
      <c r="L71" s="1"/>
    </row>
    <row r="72" spans="9:12" ht="12" customHeight="1" x14ac:dyDescent="0.2">
      <c r="I72" s="15"/>
      <c r="K72" s="1"/>
      <c r="L72" s="1"/>
    </row>
    <row r="73" spans="9:12" ht="12" customHeight="1" x14ac:dyDescent="0.2">
      <c r="I73" s="15"/>
      <c r="K73" s="1"/>
      <c r="L73" s="1"/>
    </row>
    <row r="74" spans="9:12" ht="12" customHeight="1" x14ac:dyDescent="0.2">
      <c r="I74" s="15"/>
      <c r="K74" s="1"/>
      <c r="L74" s="1"/>
    </row>
    <row r="75" spans="9:12" ht="12" customHeight="1" x14ac:dyDescent="0.2">
      <c r="I75" s="15"/>
      <c r="J75" s="1"/>
      <c r="K75" s="1"/>
      <c r="L75" s="1"/>
    </row>
    <row r="76" spans="9:12" ht="12" customHeight="1" x14ac:dyDescent="0.2">
      <c r="I76" s="15"/>
      <c r="J76" s="1"/>
      <c r="K76" s="1"/>
      <c r="L76" s="1"/>
    </row>
    <row r="77" spans="9:12" ht="12" customHeight="1" x14ac:dyDescent="0.2">
      <c r="I77" s="15"/>
      <c r="J77" s="1"/>
      <c r="K77" s="1"/>
      <c r="L77" s="1"/>
    </row>
    <row r="78" spans="9:12" ht="12" customHeight="1" x14ac:dyDescent="0.2">
      <c r="I78" s="15"/>
      <c r="J78" s="1"/>
      <c r="K78" s="1"/>
      <c r="L78" s="1"/>
    </row>
    <row r="79" spans="9:12" ht="12" customHeight="1" x14ac:dyDescent="0.2">
      <c r="I79" s="15"/>
      <c r="J79" s="1"/>
      <c r="K79" s="1"/>
      <c r="L79" s="1"/>
    </row>
    <row r="80" spans="9:12" ht="12" customHeight="1" x14ac:dyDescent="0.2">
      <c r="I80" s="15"/>
      <c r="J80" s="1"/>
      <c r="K80" s="1"/>
      <c r="L80" s="1"/>
    </row>
    <row r="81" spans="9:12" ht="12" customHeight="1" x14ac:dyDescent="0.2">
      <c r="I81" s="15"/>
      <c r="J81" s="1"/>
      <c r="K81" s="1"/>
      <c r="L81" s="1"/>
    </row>
    <row r="82" spans="9:12" ht="12" customHeight="1" x14ac:dyDescent="0.2">
      <c r="I82" s="15"/>
      <c r="K82" s="1"/>
      <c r="L82" s="1"/>
    </row>
    <row r="83" spans="9:12" ht="12" customHeight="1" x14ac:dyDescent="0.2">
      <c r="I83" s="15"/>
      <c r="K83" s="1"/>
      <c r="L83" s="1"/>
    </row>
    <row r="84" spans="9:12" ht="12" customHeight="1" x14ac:dyDescent="0.2">
      <c r="I84" s="15"/>
      <c r="K84" s="1"/>
      <c r="L84" s="1"/>
    </row>
    <row r="85" spans="9:12" ht="12" customHeight="1" x14ac:dyDescent="0.2">
      <c r="I85" s="15"/>
      <c r="K85" s="1"/>
      <c r="L85" s="1"/>
    </row>
    <row r="86" spans="9:12" ht="12" customHeight="1" x14ac:dyDescent="0.2">
      <c r="I86" s="15"/>
      <c r="K86" s="1"/>
      <c r="L86" s="1"/>
    </row>
    <row r="87" spans="9:12" ht="12" customHeight="1" x14ac:dyDescent="0.2">
      <c r="I87" s="1"/>
      <c r="K87" s="1"/>
      <c r="L87" s="1"/>
    </row>
    <row r="88" spans="9:12" ht="12" customHeight="1" x14ac:dyDescent="0.2">
      <c r="I88" s="1"/>
      <c r="K88" s="1"/>
      <c r="L88" s="1"/>
    </row>
    <row r="89" spans="9:12" ht="12" customHeight="1" x14ac:dyDescent="0.2">
      <c r="I89" s="1"/>
      <c r="K89" s="1"/>
      <c r="L89" s="1"/>
    </row>
    <row r="90" spans="9:12" ht="12" customHeight="1" x14ac:dyDescent="0.2">
      <c r="I90" s="1"/>
      <c r="K90" s="1"/>
      <c r="L90" s="1"/>
    </row>
    <row r="91" spans="9:12" ht="12" customHeight="1" x14ac:dyDescent="0.2">
      <c r="I91" s="1"/>
      <c r="K91" s="1"/>
      <c r="L91" s="1"/>
    </row>
    <row r="92" spans="9:12" ht="12" customHeight="1" x14ac:dyDescent="0.2">
      <c r="I92" s="1"/>
      <c r="K92" s="1"/>
      <c r="L92" s="1"/>
    </row>
    <row r="93" spans="9:12" ht="12" customHeight="1" x14ac:dyDescent="0.2">
      <c r="I93" s="1"/>
      <c r="K93" s="1"/>
      <c r="L93" s="1"/>
    </row>
    <row r="94" spans="9:12" ht="12" customHeight="1" x14ac:dyDescent="0.2">
      <c r="I94" s="1"/>
      <c r="K94" s="1"/>
      <c r="L94" s="1"/>
    </row>
    <row r="95" spans="9:12" ht="12" customHeight="1" x14ac:dyDescent="0.2">
      <c r="I95" s="1"/>
      <c r="K95" s="1"/>
      <c r="L95" s="1"/>
    </row>
    <row r="96" spans="9:12" ht="12" customHeight="1" x14ac:dyDescent="0.2">
      <c r="I96" s="1"/>
      <c r="K96" s="1"/>
      <c r="L96" s="1"/>
    </row>
    <row r="97" spans="8:12" ht="12" customHeight="1" x14ac:dyDescent="0.2">
      <c r="I97" s="1"/>
      <c r="K97" s="1"/>
      <c r="L97" s="1"/>
    </row>
    <row r="98" spans="8:12" ht="12" customHeight="1" x14ac:dyDescent="0.2">
      <c r="I98" s="1"/>
      <c r="K98" s="1"/>
      <c r="L98" s="1"/>
    </row>
    <row r="99" spans="8:12" ht="12" customHeight="1" x14ac:dyDescent="0.2">
      <c r="I99" s="1"/>
      <c r="K99" s="1"/>
      <c r="L99" s="1"/>
    </row>
    <row r="100" spans="8:12" ht="12" customHeight="1" x14ac:dyDescent="0.2">
      <c r="I100" s="1"/>
      <c r="K100" s="1"/>
      <c r="L100" s="1"/>
    </row>
    <row r="101" spans="8:12" ht="12" customHeight="1" x14ac:dyDescent="0.2">
      <c r="I101" s="1"/>
      <c r="K101" s="1"/>
      <c r="L101" s="1"/>
    </row>
    <row r="102" spans="8:12" ht="12" customHeight="1" x14ac:dyDescent="0.2">
      <c r="I102" s="1"/>
      <c r="K102" s="1"/>
      <c r="L102" s="1"/>
    </row>
    <row r="103" spans="8:12" ht="12" customHeight="1" x14ac:dyDescent="0.2">
      <c r="H103" s="1"/>
      <c r="I103" s="1"/>
      <c r="K103" s="1"/>
      <c r="L103" s="1"/>
    </row>
    <row r="104" spans="8:12" ht="12" customHeight="1" x14ac:dyDescent="0.2">
      <c r="H104" s="1"/>
      <c r="I104" s="1"/>
      <c r="K104" s="1"/>
      <c r="L104" s="1"/>
    </row>
    <row r="105" spans="8:12" ht="12" customHeight="1" x14ac:dyDescent="0.2">
      <c r="H105" s="1"/>
      <c r="I105" s="1"/>
      <c r="J105" s="1"/>
      <c r="K105" s="1"/>
      <c r="L105" s="1"/>
    </row>
    <row r="106" spans="8:12" ht="12" customHeight="1" x14ac:dyDescent="0.2">
      <c r="H106" s="1"/>
      <c r="I106" s="1"/>
      <c r="J106" s="1"/>
      <c r="K106" s="1"/>
      <c r="L106" s="1"/>
    </row>
    <row r="107" spans="8:12" ht="12" customHeight="1" x14ac:dyDescent="0.2">
      <c r="H107" s="1"/>
      <c r="I107" s="1"/>
      <c r="J107" s="1"/>
      <c r="K107" s="1"/>
      <c r="L107" s="1"/>
    </row>
    <row r="108" spans="8:12" ht="12" customHeight="1" x14ac:dyDescent="0.2">
      <c r="H108" s="1"/>
      <c r="I108" s="1"/>
      <c r="J108" s="1"/>
      <c r="K108" s="1"/>
      <c r="L108" s="1"/>
    </row>
    <row r="109" spans="8:12" ht="12" customHeight="1" x14ac:dyDescent="0.2">
      <c r="H109" s="1"/>
      <c r="I109" s="1"/>
      <c r="J109" s="1"/>
      <c r="K109" s="1"/>
      <c r="L109" s="1"/>
    </row>
    <row r="110" spans="8:12" ht="12" customHeight="1" x14ac:dyDescent="0.2">
      <c r="H110" s="1"/>
      <c r="I110" s="1"/>
      <c r="J110" s="1"/>
      <c r="K110" s="1"/>
      <c r="L110" s="1"/>
    </row>
    <row r="111" spans="8:12" ht="12" customHeight="1" x14ac:dyDescent="0.2"/>
    <row r="112" spans="8:12" ht="12" customHeight="1" x14ac:dyDescent="0.2"/>
    <row r="113" ht="12" customHeight="1" x14ac:dyDescent="0.2"/>
    <row r="114" ht="12" customHeight="1" x14ac:dyDescent="0.2"/>
    <row r="115" ht="12" customHeight="1" x14ac:dyDescent="0.2"/>
    <row r="116" ht="12" customHeight="1" x14ac:dyDescent="0.2"/>
    <row r="117" ht="12" customHeight="1" x14ac:dyDescent="0.2"/>
    <row r="118" ht="12" customHeight="1" x14ac:dyDescent="0.2"/>
    <row r="119" ht="12" customHeight="1" x14ac:dyDescent="0.2"/>
    <row r="120" ht="12" customHeight="1" x14ac:dyDescent="0.2"/>
    <row r="121" ht="12" customHeight="1" x14ac:dyDescent="0.2"/>
    <row r="122" ht="12" customHeight="1" x14ac:dyDescent="0.2"/>
    <row r="123" ht="12" customHeight="1" x14ac:dyDescent="0.2"/>
    <row r="124" ht="12" customHeight="1" x14ac:dyDescent="0.2"/>
    <row r="125" ht="12" customHeight="1" x14ac:dyDescent="0.2"/>
    <row r="126" ht="12" customHeight="1" x14ac:dyDescent="0.2"/>
    <row r="127" ht="12" customHeight="1" x14ac:dyDescent="0.2"/>
    <row r="128" ht="12" customHeight="1" x14ac:dyDescent="0.2"/>
    <row r="129" ht="12" customHeight="1" x14ac:dyDescent="0.2"/>
    <row r="130" ht="12" customHeight="1" x14ac:dyDescent="0.2"/>
    <row r="131" ht="12" customHeight="1" x14ac:dyDescent="0.2"/>
    <row r="132" ht="12" customHeight="1" x14ac:dyDescent="0.2"/>
    <row r="133" ht="12" customHeight="1" x14ac:dyDescent="0.2"/>
    <row r="134" ht="12" customHeight="1" x14ac:dyDescent="0.2"/>
    <row r="135" ht="12" customHeight="1" x14ac:dyDescent="0.2"/>
    <row r="136" ht="12" customHeight="1" x14ac:dyDescent="0.2"/>
    <row r="137" ht="12" customHeight="1" x14ac:dyDescent="0.2"/>
    <row r="138" ht="12" customHeight="1" x14ac:dyDescent="0.2"/>
    <row r="139" ht="12" customHeight="1" x14ac:dyDescent="0.2"/>
    <row r="140" ht="12" customHeight="1" x14ac:dyDescent="0.2"/>
    <row r="141" ht="12" customHeight="1" x14ac:dyDescent="0.2"/>
    <row r="142" ht="12" customHeight="1" x14ac:dyDescent="0.2"/>
    <row r="143" ht="12" customHeight="1" x14ac:dyDescent="0.2"/>
    <row r="144" ht="12" customHeight="1" x14ac:dyDescent="0.2"/>
    <row r="145" ht="12" customHeight="1" x14ac:dyDescent="0.2"/>
    <row r="146" ht="12" customHeight="1" x14ac:dyDescent="0.2"/>
    <row r="147" ht="12" customHeight="1" x14ac:dyDescent="0.2"/>
    <row r="148" ht="12" customHeight="1" x14ac:dyDescent="0.2"/>
    <row r="149" ht="12" customHeight="1" x14ac:dyDescent="0.2"/>
    <row r="150" ht="12" customHeight="1" x14ac:dyDescent="0.2"/>
    <row r="151" ht="12" customHeight="1" x14ac:dyDescent="0.2"/>
    <row r="152" ht="12" customHeight="1" x14ac:dyDescent="0.2"/>
    <row r="153" ht="12" customHeight="1" x14ac:dyDescent="0.2"/>
    <row r="154" ht="12" customHeight="1" x14ac:dyDescent="0.2"/>
    <row r="155" ht="12" customHeight="1" x14ac:dyDescent="0.2"/>
    <row r="156" ht="12" customHeight="1" x14ac:dyDescent="0.2"/>
    <row r="157" ht="12" customHeight="1" x14ac:dyDescent="0.2"/>
    <row r="158" ht="12" customHeight="1" x14ac:dyDescent="0.2"/>
    <row r="159" ht="12" customHeight="1" x14ac:dyDescent="0.2"/>
    <row r="160" ht="12" customHeight="1" x14ac:dyDescent="0.2"/>
    <row r="161" ht="12" customHeight="1" x14ac:dyDescent="0.2"/>
    <row r="162" ht="12" customHeight="1" x14ac:dyDescent="0.2"/>
    <row r="163" ht="12" customHeight="1" x14ac:dyDescent="0.2"/>
    <row r="164" ht="12" customHeight="1" x14ac:dyDescent="0.2"/>
    <row r="165" ht="12" customHeight="1" x14ac:dyDescent="0.2"/>
    <row r="166" ht="12" customHeight="1" x14ac:dyDescent="0.2"/>
    <row r="167" ht="12" customHeight="1" x14ac:dyDescent="0.2"/>
    <row r="168" ht="12" customHeight="1" x14ac:dyDescent="0.2"/>
    <row r="169" ht="12" customHeight="1" x14ac:dyDescent="0.2"/>
    <row r="170" ht="12" customHeight="1" x14ac:dyDescent="0.2"/>
    <row r="171" ht="12" customHeight="1" x14ac:dyDescent="0.2"/>
    <row r="172" ht="12" customHeight="1" x14ac:dyDescent="0.2"/>
    <row r="173" ht="12" customHeight="1" x14ac:dyDescent="0.2"/>
    <row r="174" ht="12" customHeight="1" x14ac:dyDescent="0.2"/>
    <row r="175" ht="12" customHeight="1" x14ac:dyDescent="0.2"/>
    <row r="176" ht="12" customHeight="1" x14ac:dyDescent="0.2"/>
    <row r="177" ht="12" customHeight="1" x14ac:dyDescent="0.2"/>
    <row r="178" ht="12" customHeight="1" x14ac:dyDescent="0.2"/>
    <row r="179" ht="12" customHeight="1" x14ac:dyDescent="0.2"/>
    <row r="180" ht="12" customHeight="1" x14ac:dyDescent="0.2"/>
    <row r="181" ht="12" customHeight="1" x14ac:dyDescent="0.2"/>
    <row r="182" ht="12" customHeight="1" x14ac:dyDescent="0.2"/>
    <row r="183" ht="12" customHeight="1" x14ac:dyDescent="0.2"/>
    <row r="184" ht="12" customHeight="1" x14ac:dyDescent="0.2"/>
    <row r="185" ht="12" customHeight="1" x14ac:dyDescent="0.2"/>
    <row r="186" ht="12" customHeight="1" x14ac:dyDescent="0.2"/>
    <row r="187" ht="12" customHeight="1" x14ac:dyDescent="0.2"/>
    <row r="188" ht="12" customHeight="1" x14ac:dyDescent="0.2"/>
    <row r="189" ht="12" customHeight="1" x14ac:dyDescent="0.2"/>
    <row r="190" ht="12" customHeight="1" x14ac:dyDescent="0.2"/>
    <row r="191" ht="12" customHeight="1" x14ac:dyDescent="0.2"/>
    <row r="192" ht="12" customHeight="1" x14ac:dyDescent="0.2"/>
    <row r="193" ht="12" customHeight="1" x14ac:dyDescent="0.2"/>
    <row r="194" ht="12" customHeight="1" x14ac:dyDescent="0.2"/>
    <row r="195" ht="12" customHeight="1" x14ac:dyDescent="0.2"/>
    <row r="196" ht="12" customHeight="1" x14ac:dyDescent="0.2"/>
    <row r="197" ht="12" customHeight="1" x14ac:dyDescent="0.2"/>
    <row r="198" ht="12" customHeight="1" x14ac:dyDescent="0.2"/>
    <row r="199" ht="12" customHeight="1" x14ac:dyDescent="0.2"/>
    <row r="200" ht="12" customHeight="1" x14ac:dyDescent="0.2"/>
    <row r="201" ht="12" customHeight="1" x14ac:dyDescent="0.2"/>
    <row r="202" ht="12" customHeight="1" x14ac:dyDescent="0.2"/>
    <row r="203" ht="12" customHeight="1" x14ac:dyDescent="0.2"/>
    <row r="204" ht="12" customHeight="1" x14ac:dyDescent="0.2"/>
    <row r="205" ht="12" customHeight="1" x14ac:dyDescent="0.2"/>
    <row r="206" ht="12" customHeight="1" x14ac:dyDescent="0.2"/>
    <row r="207" ht="12" customHeight="1" x14ac:dyDescent="0.2"/>
    <row r="208" ht="12" customHeight="1" x14ac:dyDescent="0.2"/>
    <row r="209" ht="12" customHeight="1" x14ac:dyDescent="0.2"/>
    <row r="210" ht="12" customHeight="1" x14ac:dyDescent="0.2"/>
    <row r="211" ht="12" customHeight="1" x14ac:dyDescent="0.2"/>
    <row r="212" ht="12" customHeight="1" x14ac:dyDescent="0.2"/>
    <row r="213" ht="12" customHeight="1" x14ac:dyDescent="0.2"/>
    <row r="214" ht="12" customHeight="1" x14ac:dyDescent="0.2"/>
    <row r="215" ht="12" customHeight="1" x14ac:dyDescent="0.2"/>
    <row r="216" ht="12" customHeight="1" x14ac:dyDescent="0.2"/>
    <row r="217" ht="12" customHeight="1" x14ac:dyDescent="0.2"/>
    <row r="218" ht="12" customHeight="1" x14ac:dyDescent="0.2"/>
    <row r="219" ht="12" customHeight="1" x14ac:dyDescent="0.2"/>
    <row r="220" ht="12" customHeight="1" x14ac:dyDescent="0.2"/>
    <row r="221" ht="12" customHeight="1" x14ac:dyDescent="0.2"/>
    <row r="222" ht="12" customHeight="1" x14ac:dyDescent="0.2"/>
    <row r="223" ht="12" customHeight="1" x14ac:dyDescent="0.2"/>
    <row r="224" ht="12" customHeight="1" x14ac:dyDescent="0.2"/>
    <row r="225" ht="12" customHeight="1" x14ac:dyDescent="0.2"/>
    <row r="226" ht="12" customHeight="1" x14ac:dyDescent="0.2"/>
    <row r="227" ht="12" customHeight="1" x14ac:dyDescent="0.2"/>
    <row r="228" ht="12" customHeight="1" x14ac:dyDescent="0.2"/>
    <row r="229" ht="12" customHeight="1" x14ac:dyDescent="0.2"/>
    <row r="230" ht="12" customHeight="1" x14ac:dyDescent="0.2"/>
    <row r="231" ht="12" customHeight="1" x14ac:dyDescent="0.2"/>
    <row r="232" ht="12" customHeight="1" x14ac:dyDescent="0.2"/>
    <row r="233" ht="12" customHeight="1" x14ac:dyDescent="0.2"/>
    <row r="234" ht="12" customHeight="1" x14ac:dyDescent="0.2"/>
    <row r="235" ht="12" customHeight="1" x14ac:dyDescent="0.2"/>
    <row r="236" ht="12" customHeight="1" x14ac:dyDescent="0.2"/>
    <row r="237" ht="12" customHeight="1" x14ac:dyDescent="0.2"/>
    <row r="238" ht="12" customHeight="1" x14ac:dyDescent="0.2"/>
    <row r="239" ht="12" customHeight="1" x14ac:dyDescent="0.2"/>
    <row r="240" ht="12" customHeight="1" x14ac:dyDescent="0.2"/>
    <row r="241" ht="12" customHeight="1" x14ac:dyDescent="0.2"/>
    <row r="242" ht="12" customHeight="1" x14ac:dyDescent="0.2"/>
    <row r="243" ht="12" customHeight="1" x14ac:dyDescent="0.2"/>
    <row r="244" ht="12" customHeight="1" x14ac:dyDescent="0.2"/>
    <row r="245" ht="12" customHeight="1" x14ac:dyDescent="0.2"/>
    <row r="246" ht="12" customHeight="1" x14ac:dyDescent="0.2"/>
    <row r="247" ht="12" customHeight="1" x14ac:dyDescent="0.2"/>
    <row r="248" ht="12" customHeight="1" x14ac:dyDescent="0.2"/>
    <row r="249" ht="12" customHeight="1" x14ac:dyDescent="0.2"/>
    <row r="250" ht="12" customHeight="1" x14ac:dyDescent="0.2"/>
    <row r="251" ht="12" customHeight="1" x14ac:dyDescent="0.2"/>
    <row r="252" ht="12" customHeight="1" x14ac:dyDescent="0.2"/>
    <row r="253" ht="12" customHeight="1" x14ac:dyDescent="0.2"/>
    <row r="254" ht="12" customHeight="1" x14ac:dyDescent="0.2"/>
    <row r="255" ht="12" customHeight="1" x14ac:dyDescent="0.2"/>
    <row r="256" ht="12" customHeight="1" x14ac:dyDescent="0.2"/>
    <row r="257" ht="12" customHeight="1" x14ac:dyDescent="0.2"/>
    <row r="258" ht="12" customHeight="1" x14ac:dyDescent="0.2"/>
    <row r="259" ht="12" customHeight="1" x14ac:dyDescent="0.2"/>
    <row r="260" ht="12" customHeight="1" x14ac:dyDescent="0.2"/>
    <row r="261" ht="12" customHeight="1" x14ac:dyDescent="0.2"/>
    <row r="262" ht="12" customHeight="1" x14ac:dyDescent="0.2"/>
    <row r="263" ht="12" customHeight="1" x14ac:dyDescent="0.2"/>
    <row r="264" ht="12" customHeight="1" x14ac:dyDescent="0.2"/>
    <row r="265" ht="12" customHeight="1" x14ac:dyDescent="0.2"/>
    <row r="266" ht="12" customHeight="1" x14ac:dyDescent="0.2"/>
    <row r="267" ht="12" customHeight="1" x14ac:dyDescent="0.2"/>
    <row r="268" ht="12" customHeight="1" x14ac:dyDescent="0.2"/>
    <row r="269" ht="12" customHeight="1" x14ac:dyDescent="0.2"/>
    <row r="270" ht="12" customHeight="1" x14ac:dyDescent="0.2"/>
    <row r="271" ht="12" customHeight="1" x14ac:dyDescent="0.2"/>
    <row r="272" ht="12" customHeight="1" x14ac:dyDescent="0.2"/>
    <row r="273" ht="12" customHeight="1" x14ac:dyDescent="0.2"/>
    <row r="274" ht="12" customHeight="1" x14ac:dyDescent="0.2"/>
    <row r="275" ht="12" customHeight="1" x14ac:dyDescent="0.2"/>
    <row r="276" ht="12" customHeight="1" x14ac:dyDescent="0.2"/>
    <row r="277" ht="12" customHeight="1" x14ac:dyDescent="0.2"/>
    <row r="278" ht="12" customHeight="1" x14ac:dyDescent="0.2"/>
    <row r="279" ht="12" customHeight="1" x14ac:dyDescent="0.2"/>
    <row r="280" ht="12" customHeight="1" x14ac:dyDescent="0.2"/>
    <row r="281" ht="12" customHeight="1" x14ac:dyDescent="0.2"/>
    <row r="282" ht="12" customHeight="1" x14ac:dyDescent="0.2"/>
    <row r="283" ht="12" customHeight="1" x14ac:dyDescent="0.2"/>
    <row r="284" ht="12" customHeight="1" x14ac:dyDescent="0.2"/>
    <row r="285" ht="12" customHeight="1" x14ac:dyDescent="0.2"/>
    <row r="286" ht="12" customHeight="1" x14ac:dyDescent="0.2"/>
    <row r="287" ht="12" customHeight="1" x14ac:dyDescent="0.2"/>
    <row r="288" ht="12" customHeight="1" x14ac:dyDescent="0.2"/>
    <row r="289" ht="12" customHeight="1" x14ac:dyDescent="0.2"/>
    <row r="290" ht="12" customHeight="1" x14ac:dyDescent="0.2"/>
    <row r="291" ht="12" customHeight="1" x14ac:dyDescent="0.2"/>
    <row r="292" ht="12" customHeight="1" x14ac:dyDescent="0.2"/>
    <row r="293" ht="12" customHeight="1" x14ac:dyDescent="0.2"/>
    <row r="294" ht="12" customHeight="1" x14ac:dyDescent="0.2"/>
    <row r="295" ht="12" customHeight="1" x14ac:dyDescent="0.2"/>
    <row r="296" ht="12" customHeight="1" x14ac:dyDescent="0.2"/>
    <row r="297" ht="12" customHeight="1" x14ac:dyDescent="0.2"/>
    <row r="298" ht="12" customHeight="1" x14ac:dyDescent="0.2"/>
    <row r="299" ht="12" customHeight="1" x14ac:dyDescent="0.2"/>
    <row r="300" ht="12" customHeight="1" x14ac:dyDescent="0.2"/>
    <row r="301" ht="12" customHeight="1" x14ac:dyDescent="0.2"/>
    <row r="302" ht="12" customHeight="1" x14ac:dyDescent="0.2"/>
    <row r="303" ht="12" customHeight="1" x14ac:dyDescent="0.2"/>
    <row r="304" ht="12" customHeight="1" x14ac:dyDescent="0.2"/>
    <row r="305" ht="12" customHeight="1" x14ac:dyDescent="0.2"/>
    <row r="306" ht="12" customHeight="1" x14ac:dyDescent="0.2"/>
    <row r="307" ht="12" customHeight="1" x14ac:dyDescent="0.2"/>
    <row r="308" ht="12" customHeight="1" x14ac:dyDescent="0.2"/>
    <row r="309" ht="12" customHeight="1" x14ac:dyDescent="0.2"/>
    <row r="310" ht="12" customHeight="1" x14ac:dyDescent="0.2"/>
    <row r="311" ht="12" customHeight="1" x14ac:dyDescent="0.2"/>
    <row r="312" ht="12" customHeight="1" x14ac:dyDescent="0.2"/>
    <row r="313" ht="12" customHeight="1" x14ac:dyDescent="0.2"/>
    <row r="314" ht="12" customHeight="1" x14ac:dyDescent="0.2"/>
    <row r="315" ht="12" customHeight="1" x14ac:dyDescent="0.2"/>
    <row r="316" ht="12" customHeight="1" x14ac:dyDescent="0.2"/>
    <row r="317" ht="12" customHeight="1" x14ac:dyDescent="0.2"/>
    <row r="318" ht="12" customHeight="1" x14ac:dyDescent="0.2"/>
    <row r="319" ht="12" customHeight="1" x14ac:dyDescent="0.2"/>
    <row r="320" ht="12" customHeight="1" x14ac:dyDescent="0.2"/>
    <row r="321" ht="12" customHeight="1" x14ac:dyDescent="0.2"/>
    <row r="322" ht="12" customHeight="1" x14ac:dyDescent="0.2"/>
    <row r="323" ht="12" customHeight="1" x14ac:dyDescent="0.2"/>
    <row r="324" ht="12" customHeight="1" x14ac:dyDescent="0.2"/>
    <row r="325" ht="12" customHeight="1" x14ac:dyDescent="0.2"/>
    <row r="326" ht="12" customHeight="1" x14ac:dyDescent="0.2"/>
    <row r="327" ht="12" customHeight="1" x14ac:dyDescent="0.2"/>
    <row r="328" ht="12" customHeight="1" x14ac:dyDescent="0.2"/>
    <row r="329" ht="12" customHeight="1" x14ac:dyDescent="0.2"/>
    <row r="330" ht="12" customHeight="1" x14ac:dyDescent="0.2"/>
    <row r="331" ht="12" customHeight="1" x14ac:dyDescent="0.2"/>
    <row r="332" ht="12" customHeight="1" x14ac:dyDescent="0.2"/>
    <row r="333" ht="12" customHeight="1" x14ac:dyDescent="0.2"/>
    <row r="334" ht="12" customHeight="1" x14ac:dyDescent="0.2"/>
    <row r="335" ht="12" customHeight="1" x14ac:dyDescent="0.2"/>
    <row r="336" ht="12" customHeight="1" x14ac:dyDescent="0.2"/>
    <row r="337" ht="12" customHeight="1" x14ac:dyDescent="0.2"/>
    <row r="338" ht="12" customHeight="1" x14ac:dyDescent="0.2"/>
    <row r="339" ht="12" customHeight="1" x14ac:dyDescent="0.2"/>
    <row r="340" ht="12" customHeight="1" x14ac:dyDescent="0.2"/>
    <row r="341" ht="12" customHeight="1" x14ac:dyDescent="0.2"/>
    <row r="342" ht="12" customHeight="1" x14ac:dyDescent="0.2"/>
    <row r="343" ht="12" customHeight="1" x14ac:dyDescent="0.2"/>
    <row r="344" ht="12" customHeight="1" x14ac:dyDescent="0.2"/>
    <row r="345" ht="12" customHeight="1" x14ac:dyDescent="0.2"/>
    <row r="346" ht="12" customHeight="1" x14ac:dyDescent="0.2"/>
    <row r="347" ht="12" customHeight="1" x14ac:dyDescent="0.2"/>
    <row r="348" ht="12" customHeight="1" x14ac:dyDescent="0.2"/>
    <row r="349" ht="12" customHeight="1" x14ac:dyDescent="0.2"/>
    <row r="350" ht="12" customHeight="1" x14ac:dyDescent="0.2"/>
    <row r="351" ht="12" customHeight="1" x14ac:dyDescent="0.2"/>
    <row r="352" ht="12" customHeight="1" x14ac:dyDescent="0.2"/>
    <row r="353" ht="12" customHeight="1" x14ac:dyDescent="0.2"/>
    <row r="354" ht="12" customHeight="1" x14ac:dyDescent="0.2"/>
    <row r="355" ht="12" customHeight="1" x14ac:dyDescent="0.2"/>
    <row r="356" ht="12" customHeight="1" x14ac:dyDescent="0.2"/>
    <row r="357" ht="12" customHeight="1" x14ac:dyDescent="0.2"/>
    <row r="358" ht="12" customHeight="1" x14ac:dyDescent="0.2"/>
    <row r="359" ht="12" customHeight="1" x14ac:dyDescent="0.2"/>
    <row r="360" ht="12" customHeight="1" x14ac:dyDescent="0.2"/>
    <row r="361" ht="12" customHeight="1" x14ac:dyDescent="0.2"/>
    <row r="362" ht="12" customHeight="1" x14ac:dyDescent="0.2"/>
    <row r="363" ht="12" customHeight="1" x14ac:dyDescent="0.2"/>
    <row r="364" ht="12" customHeight="1" x14ac:dyDescent="0.2"/>
    <row r="365" ht="12" customHeight="1" x14ac:dyDescent="0.2"/>
    <row r="366" ht="12" customHeight="1" x14ac:dyDescent="0.2"/>
    <row r="367" ht="12" customHeight="1" x14ac:dyDescent="0.2"/>
    <row r="368" ht="12" customHeight="1" x14ac:dyDescent="0.2"/>
    <row r="369" ht="12" customHeight="1" x14ac:dyDescent="0.2"/>
    <row r="370" ht="12" customHeight="1" x14ac:dyDescent="0.2"/>
    <row r="371" ht="12" customHeight="1" x14ac:dyDescent="0.2"/>
    <row r="372" ht="12" customHeight="1" x14ac:dyDescent="0.2"/>
    <row r="373" ht="12" customHeight="1" x14ac:dyDescent="0.2"/>
    <row r="374" ht="12" customHeight="1" x14ac:dyDescent="0.2"/>
    <row r="375" ht="12" customHeight="1" x14ac:dyDescent="0.2"/>
    <row r="376" ht="12" customHeight="1" x14ac:dyDescent="0.2"/>
    <row r="377" ht="12" customHeight="1" x14ac:dyDescent="0.2"/>
    <row r="378" ht="12" customHeight="1" x14ac:dyDescent="0.2"/>
    <row r="379" ht="12" customHeight="1" x14ac:dyDescent="0.2"/>
    <row r="380" ht="12" customHeight="1" x14ac:dyDescent="0.2"/>
    <row r="381" ht="12" customHeight="1" x14ac:dyDescent="0.2"/>
    <row r="382" ht="12" customHeight="1" x14ac:dyDescent="0.2"/>
    <row r="383" ht="12" customHeight="1" x14ac:dyDescent="0.2"/>
    <row r="384" ht="12" customHeight="1" x14ac:dyDescent="0.2"/>
    <row r="385" ht="12" customHeight="1" x14ac:dyDescent="0.2"/>
    <row r="386" ht="12" customHeight="1" x14ac:dyDescent="0.2"/>
    <row r="387" ht="12" customHeight="1" x14ac:dyDescent="0.2"/>
    <row r="388" ht="12" customHeight="1" x14ac:dyDescent="0.2"/>
    <row r="389" ht="12" customHeight="1" x14ac:dyDescent="0.2"/>
    <row r="390" ht="12" customHeight="1" x14ac:dyDescent="0.2"/>
    <row r="391" ht="12" customHeight="1" x14ac:dyDescent="0.2"/>
    <row r="392" ht="12" customHeight="1" x14ac:dyDescent="0.2"/>
    <row r="393" ht="12" customHeight="1" x14ac:dyDescent="0.2"/>
    <row r="394" ht="12" customHeight="1" x14ac:dyDescent="0.2"/>
    <row r="395" ht="12" customHeight="1" x14ac:dyDescent="0.2"/>
    <row r="396" ht="12" customHeight="1" x14ac:dyDescent="0.2"/>
    <row r="397" ht="12" customHeight="1" x14ac:dyDescent="0.2"/>
    <row r="398" ht="12" customHeight="1" x14ac:dyDescent="0.2"/>
    <row r="399" ht="12" customHeight="1" x14ac:dyDescent="0.2"/>
    <row r="400" ht="12" customHeight="1" x14ac:dyDescent="0.2"/>
    <row r="401" ht="12" customHeight="1" x14ac:dyDescent="0.2"/>
    <row r="402" ht="12" customHeight="1" x14ac:dyDescent="0.2"/>
    <row r="403" ht="12" customHeight="1" x14ac:dyDescent="0.2"/>
    <row r="404" ht="12" customHeight="1" x14ac:dyDescent="0.2"/>
    <row r="405" ht="12" customHeight="1" x14ac:dyDescent="0.2"/>
    <row r="406" ht="12" customHeight="1" x14ac:dyDescent="0.2"/>
    <row r="407" ht="12" customHeight="1" x14ac:dyDescent="0.2"/>
    <row r="408" ht="12" customHeight="1" x14ac:dyDescent="0.2"/>
    <row r="409" ht="12" customHeight="1" x14ac:dyDescent="0.2"/>
    <row r="410" ht="12" customHeight="1" x14ac:dyDescent="0.2"/>
    <row r="411" ht="12" customHeight="1" x14ac:dyDescent="0.2"/>
    <row r="412" ht="12" customHeight="1" x14ac:dyDescent="0.2"/>
    <row r="413" ht="12" customHeight="1" x14ac:dyDescent="0.2"/>
    <row r="414" ht="12" customHeight="1" x14ac:dyDescent="0.2"/>
    <row r="415" ht="12" customHeight="1" x14ac:dyDescent="0.2"/>
    <row r="416" ht="12" customHeight="1" x14ac:dyDescent="0.2"/>
    <row r="417" ht="12" customHeight="1" x14ac:dyDescent="0.2"/>
    <row r="418" ht="12" customHeight="1" x14ac:dyDescent="0.2"/>
    <row r="419" ht="12" customHeight="1" x14ac:dyDescent="0.2"/>
    <row r="420" ht="12" customHeight="1" x14ac:dyDescent="0.2"/>
    <row r="421" ht="12" customHeight="1" x14ac:dyDescent="0.2"/>
    <row r="422" ht="12" customHeight="1" x14ac:dyDescent="0.2"/>
    <row r="423" ht="12" customHeight="1" x14ac:dyDescent="0.2"/>
    <row r="424" ht="12" customHeight="1" x14ac:dyDescent="0.2"/>
    <row r="425" ht="12" customHeight="1" x14ac:dyDescent="0.2"/>
    <row r="426" ht="12" customHeight="1" x14ac:dyDescent="0.2"/>
    <row r="427" ht="12" customHeight="1" x14ac:dyDescent="0.2"/>
    <row r="428" ht="12" customHeight="1" x14ac:dyDescent="0.2"/>
    <row r="429" ht="12" customHeight="1" x14ac:dyDescent="0.2"/>
    <row r="430" ht="12" customHeight="1" x14ac:dyDescent="0.2"/>
    <row r="431" ht="12" customHeight="1" x14ac:dyDescent="0.2"/>
    <row r="432" ht="12" customHeight="1" x14ac:dyDescent="0.2"/>
    <row r="433" ht="12" customHeight="1" x14ac:dyDescent="0.2"/>
    <row r="434" ht="12" customHeight="1" x14ac:dyDescent="0.2"/>
    <row r="435" ht="12" customHeight="1" x14ac:dyDescent="0.2"/>
    <row r="436" ht="12" customHeight="1" x14ac:dyDescent="0.2"/>
    <row r="437" ht="12" customHeight="1" x14ac:dyDescent="0.2"/>
    <row r="438" ht="12" customHeight="1" x14ac:dyDescent="0.2"/>
    <row r="439" ht="12" customHeight="1" x14ac:dyDescent="0.2"/>
    <row r="440" ht="12" customHeight="1" x14ac:dyDescent="0.2"/>
    <row r="441" ht="12" customHeight="1" x14ac:dyDescent="0.2"/>
    <row r="442" ht="12" customHeight="1" x14ac:dyDescent="0.2"/>
    <row r="443" ht="12" customHeight="1" x14ac:dyDescent="0.2"/>
    <row r="444" ht="12" customHeight="1" x14ac:dyDescent="0.2"/>
    <row r="445" ht="12" customHeight="1" x14ac:dyDescent="0.2"/>
    <row r="446" ht="12" customHeight="1" x14ac:dyDescent="0.2"/>
    <row r="447" ht="12" customHeight="1" x14ac:dyDescent="0.2"/>
    <row r="448" ht="12" customHeight="1" x14ac:dyDescent="0.2"/>
    <row r="449" ht="12" customHeight="1" x14ac:dyDescent="0.2"/>
    <row r="450" ht="12" customHeight="1" x14ac:dyDescent="0.2"/>
    <row r="451" ht="12" customHeight="1" x14ac:dyDescent="0.2"/>
    <row r="452" ht="12" customHeight="1" x14ac:dyDescent="0.2"/>
    <row r="453" ht="12" customHeight="1" x14ac:dyDescent="0.2"/>
    <row r="454" ht="12" customHeight="1" x14ac:dyDescent="0.2"/>
    <row r="455" ht="12" customHeight="1" x14ac:dyDescent="0.2"/>
    <row r="456" ht="12" customHeight="1" x14ac:dyDescent="0.2"/>
    <row r="457" ht="12" customHeight="1" x14ac:dyDescent="0.2"/>
    <row r="458" ht="12" customHeight="1" x14ac:dyDescent="0.2"/>
    <row r="459" ht="12" customHeight="1" x14ac:dyDescent="0.2"/>
    <row r="460" ht="12" customHeight="1" x14ac:dyDescent="0.2"/>
    <row r="461" ht="12" customHeight="1" x14ac:dyDescent="0.2"/>
    <row r="462" ht="12" customHeight="1" x14ac:dyDescent="0.2"/>
    <row r="463" ht="12" customHeight="1" x14ac:dyDescent="0.2"/>
    <row r="464" ht="12" customHeight="1" x14ac:dyDescent="0.2"/>
    <row r="465" ht="12" customHeight="1" x14ac:dyDescent="0.2"/>
    <row r="466" ht="12" customHeight="1" x14ac:dyDescent="0.2"/>
    <row r="467" ht="12" customHeight="1" x14ac:dyDescent="0.2"/>
    <row r="468" ht="12" customHeight="1" x14ac:dyDescent="0.2"/>
    <row r="469" ht="12" customHeight="1" x14ac:dyDescent="0.2"/>
    <row r="470" ht="12" customHeight="1" x14ac:dyDescent="0.2"/>
    <row r="471" ht="12" customHeight="1" x14ac:dyDescent="0.2"/>
    <row r="472" ht="12" customHeight="1" x14ac:dyDescent="0.2"/>
    <row r="473" ht="12" customHeight="1" x14ac:dyDescent="0.2"/>
    <row r="474" ht="12" customHeight="1" x14ac:dyDescent="0.2"/>
    <row r="475" ht="12" customHeight="1" x14ac:dyDescent="0.2"/>
    <row r="476" ht="12" customHeight="1" x14ac:dyDescent="0.2"/>
    <row r="477" ht="12" customHeight="1" x14ac:dyDescent="0.2"/>
    <row r="478" ht="12" customHeight="1" x14ac:dyDescent="0.2"/>
    <row r="479" ht="12" customHeight="1" x14ac:dyDescent="0.2"/>
    <row r="480" ht="12" customHeight="1" x14ac:dyDescent="0.2"/>
    <row r="481" ht="12" customHeight="1" x14ac:dyDescent="0.2"/>
    <row r="482" ht="12" customHeight="1" x14ac:dyDescent="0.2"/>
    <row r="483" ht="12" customHeight="1" x14ac:dyDescent="0.2"/>
    <row r="484" ht="12" customHeight="1" x14ac:dyDescent="0.2"/>
    <row r="485" ht="12" customHeight="1" x14ac:dyDescent="0.2"/>
    <row r="486" ht="12" customHeight="1" x14ac:dyDescent="0.2"/>
    <row r="487" ht="12" customHeight="1" x14ac:dyDescent="0.2"/>
    <row r="488" ht="12" customHeight="1" x14ac:dyDescent="0.2"/>
    <row r="489" ht="12" customHeight="1" x14ac:dyDescent="0.2"/>
    <row r="490" ht="12" customHeight="1" x14ac:dyDescent="0.2"/>
    <row r="491" ht="12" customHeight="1" x14ac:dyDescent="0.2"/>
    <row r="492" ht="12" customHeight="1" x14ac:dyDescent="0.2"/>
    <row r="493" ht="12" customHeight="1" x14ac:dyDescent="0.2"/>
    <row r="494" ht="12" customHeight="1" x14ac:dyDescent="0.2"/>
    <row r="495" ht="12" customHeight="1" x14ac:dyDescent="0.2"/>
    <row r="496" ht="12" customHeight="1" x14ac:dyDescent="0.2"/>
    <row r="497" ht="12" customHeight="1" x14ac:dyDescent="0.2"/>
    <row r="498" ht="12" customHeight="1" x14ac:dyDescent="0.2"/>
    <row r="499" ht="12" customHeight="1" x14ac:dyDescent="0.2"/>
    <row r="500" ht="12" customHeight="1" x14ac:dyDescent="0.2"/>
    <row r="501" ht="12" customHeight="1" x14ac:dyDescent="0.2"/>
    <row r="502" ht="12" customHeight="1" x14ac:dyDescent="0.2"/>
    <row r="503" ht="12" customHeight="1" x14ac:dyDescent="0.2"/>
    <row r="504" ht="12" customHeight="1" x14ac:dyDescent="0.2"/>
    <row r="505" ht="12" customHeight="1" x14ac:dyDescent="0.2"/>
    <row r="506" ht="12" customHeight="1" x14ac:dyDescent="0.2"/>
    <row r="507" ht="12" customHeight="1" x14ac:dyDescent="0.2"/>
    <row r="508" ht="12" customHeight="1" x14ac:dyDescent="0.2"/>
    <row r="509" ht="12" customHeight="1" x14ac:dyDescent="0.2"/>
    <row r="510" ht="12" customHeight="1" x14ac:dyDescent="0.2"/>
    <row r="511" ht="12" customHeight="1" x14ac:dyDescent="0.2"/>
    <row r="512" ht="12" customHeight="1" x14ac:dyDescent="0.2"/>
    <row r="513" ht="12" customHeight="1" x14ac:dyDescent="0.2"/>
    <row r="514" ht="12" customHeight="1" x14ac:dyDescent="0.2"/>
    <row r="515" ht="12" customHeight="1" x14ac:dyDescent="0.2"/>
    <row r="516" ht="12" customHeight="1" x14ac:dyDescent="0.2"/>
    <row r="517" ht="12" customHeight="1" x14ac:dyDescent="0.2"/>
    <row r="518" ht="12" customHeight="1" x14ac:dyDescent="0.2"/>
    <row r="519" ht="12" customHeight="1" x14ac:dyDescent="0.2"/>
    <row r="520" ht="12" customHeight="1" x14ac:dyDescent="0.2"/>
    <row r="521" ht="12" customHeight="1" x14ac:dyDescent="0.2"/>
    <row r="522" ht="12" customHeight="1" x14ac:dyDescent="0.2"/>
    <row r="523" ht="12" customHeight="1" x14ac:dyDescent="0.2"/>
    <row r="524" ht="12" customHeight="1" x14ac:dyDescent="0.2"/>
    <row r="525" ht="12" customHeight="1" x14ac:dyDescent="0.2"/>
    <row r="526" ht="12" customHeight="1" x14ac:dyDescent="0.2"/>
    <row r="527" ht="12" customHeight="1" x14ac:dyDescent="0.2"/>
    <row r="528" ht="12" customHeight="1" x14ac:dyDescent="0.2"/>
    <row r="529" ht="12" customHeight="1" x14ac:dyDescent="0.2"/>
    <row r="530" ht="12" customHeight="1" x14ac:dyDescent="0.2"/>
    <row r="531" ht="12" customHeight="1" x14ac:dyDescent="0.2"/>
    <row r="532" ht="12" customHeight="1" x14ac:dyDescent="0.2"/>
    <row r="533" ht="12" customHeight="1" x14ac:dyDescent="0.2"/>
    <row r="534" ht="12" customHeight="1" x14ac:dyDescent="0.2"/>
    <row r="535" ht="12" customHeight="1" x14ac:dyDescent="0.2"/>
    <row r="536" ht="12" customHeight="1" x14ac:dyDescent="0.2"/>
    <row r="537" ht="12" customHeight="1" x14ac:dyDescent="0.2"/>
    <row r="538" ht="12" customHeight="1" x14ac:dyDescent="0.2"/>
    <row r="539" ht="12" customHeight="1" x14ac:dyDescent="0.2"/>
    <row r="540" ht="12" customHeight="1" x14ac:dyDescent="0.2"/>
    <row r="541" ht="12" customHeight="1" x14ac:dyDescent="0.2"/>
    <row r="542" ht="12" customHeight="1" x14ac:dyDescent="0.2"/>
    <row r="543" ht="12" customHeight="1" x14ac:dyDescent="0.2"/>
    <row r="544" ht="12" customHeight="1" x14ac:dyDescent="0.2"/>
    <row r="545" ht="12" customHeight="1" x14ac:dyDescent="0.2"/>
    <row r="546" ht="12" customHeight="1" x14ac:dyDescent="0.2"/>
    <row r="547" ht="12" customHeight="1" x14ac:dyDescent="0.2"/>
    <row r="548" ht="12" customHeight="1" x14ac:dyDescent="0.2"/>
    <row r="549" ht="12" customHeight="1" x14ac:dyDescent="0.2"/>
    <row r="550" ht="12" customHeight="1" x14ac:dyDescent="0.2"/>
    <row r="551" ht="12" customHeight="1" x14ac:dyDescent="0.2"/>
    <row r="552" ht="12" customHeight="1" x14ac:dyDescent="0.2"/>
    <row r="553" ht="12" customHeight="1" x14ac:dyDescent="0.2"/>
    <row r="554" ht="12" customHeight="1" x14ac:dyDescent="0.2"/>
    <row r="555" ht="12" customHeight="1" x14ac:dyDescent="0.2"/>
    <row r="556" ht="12" customHeight="1" x14ac:dyDescent="0.2"/>
    <row r="557" ht="12" customHeight="1" x14ac:dyDescent="0.2"/>
    <row r="558" ht="12" customHeight="1" x14ac:dyDescent="0.2"/>
    <row r="559" ht="12" customHeight="1" x14ac:dyDescent="0.2"/>
    <row r="560" ht="12" customHeight="1" x14ac:dyDescent="0.2"/>
    <row r="561" ht="12" customHeight="1" x14ac:dyDescent="0.2"/>
    <row r="562" ht="12" customHeight="1" x14ac:dyDescent="0.2"/>
    <row r="563" ht="12" customHeight="1" x14ac:dyDescent="0.2"/>
    <row r="564" ht="12" customHeight="1" x14ac:dyDescent="0.2"/>
    <row r="565" ht="12" customHeight="1" x14ac:dyDescent="0.2"/>
    <row r="566" ht="12" customHeight="1" x14ac:dyDescent="0.2"/>
    <row r="567" ht="12" customHeight="1" x14ac:dyDescent="0.2"/>
    <row r="568" ht="12" customHeight="1" x14ac:dyDescent="0.2"/>
    <row r="569" ht="12" customHeight="1" x14ac:dyDescent="0.2"/>
    <row r="570" ht="12" customHeight="1" x14ac:dyDescent="0.2"/>
    <row r="571" ht="12" customHeight="1" x14ac:dyDescent="0.2"/>
    <row r="572" ht="12" customHeight="1" x14ac:dyDescent="0.2"/>
    <row r="573" ht="12" customHeight="1" x14ac:dyDescent="0.2"/>
    <row r="574" ht="12" customHeight="1" x14ac:dyDescent="0.2"/>
    <row r="575" ht="12" customHeight="1" x14ac:dyDescent="0.2"/>
    <row r="576" ht="12" customHeight="1" x14ac:dyDescent="0.2"/>
    <row r="577" ht="12" customHeight="1" x14ac:dyDescent="0.2"/>
    <row r="578" ht="12" customHeight="1" x14ac:dyDescent="0.2"/>
    <row r="579" ht="12" customHeight="1" x14ac:dyDescent="0.2"/>
    <row r="580" ht="12" customHeight="1" x14ac:dyDescent="0.2"/>
    <row r="581" ht="12" customHeight="1" x14ac:dyDescent="0.2"/>
    <row r="582" ht="12" customHeight="1" x14ac:dyDescent="0.2"/>
    <row r="583" ht="12" customHeight="1" x14ac:dyDescent="0.2"/>
    <row r="584" ht="12" customHeight="1" x14ac:dyDescent="0.2"/>
    <row r="585" ht="12" customHeight="1" x14ac:dyDescent="0.2"/>
    <row r="586" ht="12" customHeight="1" x14ac:dyDescent="0.2"/>
    <row r="587" ht="12" customHeight="1" x14ac:dyDescent="0.2"/>
    <row r="588" ht="12" customHeight="1" x14ac:dyDescent="0.2"/>
    <row r="589" ht="12" customHeight="1" x14ac:dyDescent="0.2"/>
    <row r="590" ht="12" customHeight="1" x14ac:dyDescent="0.2"/>
    <row r="591" ht="12" customHeight="1" x14ac:dyDescent="0.2"/>
    <row r="592" ht="12" customHeight="1" x14ac:dyDescent="0.2"/>
    <row r="593" ht="12" customHeight="1" x14ac:dyDescent="0.2"/>
    <row r="594" ht="12" customHeight="1" x14ac:dyDescent="0.2"/>
    <row r="595" ht="12" customHeight="1" x14ac:dyDescent="0.2"/>
    <row r="596" ht="12" customHeight="1" x14ac:dyDescent="0.2"/>
    <row r="597" ht="12" customHeight="1" x14ac:dyDescent="0.2"/>
    <row r="598" ht="12" customHeight="1" x14ac:dyDescent="0.2"/>
    <row r="599" ht="12" customHeight="1" x14ac:dyDescent="0.2"/>
    <row r="600" ht="12" customHeight="1" x14ac:dyDescent="0.2"/>
    <row r="601" ht="12" customHeight="1" x14ac:dyDescent="0.2"/>
    <row r="602" ht="12" customHeight="1" x14ac:dyDescent="0.2"/>
    <row r="603" ht="12" customHeight="1" x14ac:dyDescent="0.2"/>
    <row r="604" ht="12" customHeight="1" x14ac:dyDescent="0.2"/>
    <row r="605" ht="12" customHeight="1" x14ac:dyDescent="0.2"/>
    <row r="606" ht="12" customHeight="1" x14ac:dyDescent="0.2"/>
    <row r="607" ht="12" customHeight="1" x14ac:dyDescent="0.2"/>
    <row r="608" ht="12" customHeight="1" x14ac:dyDescent="0.2"/>
    <row r="609" ht="12" customHeight="1" x14ac:dyDescent="0.2"/>
    <row r="610" ht="12" customHeight="1" x14ac:dyDescent="0.2"/>
    <row r="611" ht="12" customHeight="1" x14ac:dyDescent="0.2"/>
    <row r="612" ht="12" customHeight="1" x14ac:dyDescent="0.2"/>
    <row r="613" ht="12" customHeight="1" x14ac:dyDescent="0.2"/>
    <row r="614" ht="12" customHeight="1" x14ac:dyDescent="0.2"/>
    <row r="615" ht="12" customHeight="1" x14ac:dyDescent="0.2"/>
    <row r="616" ht="12" customHeight="1" x14ac:dyDescent="0.2"/>
    <row r="617" ht="12" customHeight="1" x14ac:dyDescent="0.2"/>
    <row r="618" ht="12" customHeight="1" x14ac:dyDescent="0.2"/>
    <row r="619" ht="12" customHeight="1" x14ac:dyDescent="0.2"/>
    <row r="620" ht="12" customHeight="1" x14ac:dyDescent="0.2"/>
    <row r="621" ht="12" customHeight="1" x14ac:dyDescent="0.2"/>
    <row r="622" ht="12" customHeight="1" x14ac:dyDescent="0.2"/>
    <row r="623" ht="12" customHeight="1" x14ac:dyDescent="0.2"/>
    <row r="624" ht="12" customHeight="1" x14ac:dyDescent="0.2"/>
    <row r="625" ht="12" customHeight="1" x14ac:dyDescent="0.2"/>
    <row r="626" ht="12" customHeight="1" x14ac:dyDescent="0.2"/>
    <row r="627" ht="12" customHeight="1" x14ac:dyDescent="0.2"/>
    <row r="628" ht="12" customHeight="1" x14ac:dyDescent="0.2"/>
    <row r="629" ht="12" customHeight="1" x14ac:dyDescent="0.2"/>
    <row r="630" ht="12" customHeight="1" x14ac:dyDescent="0.2"/>
    <row r="631" ht="12" customHeight="1" x14ac:dyDescent="0.2"/>
    <row r="632" ht="12" customHeight="1" x14ac:dyDescent="0.2"/>
    <row r="633" ht="12" customHeight="1" x14ac:dyDescent="0.2"/>
    <row r="634" ht="12" customHeight="1" x14ac:dyDescent="0.2"/>
    <row r="635" ht="12" customHeight="1" x14ac:dyDescent="0.2"/>
    <row r="636" ht="12" customHeight="1" x14ac:dyDescent="0.2"/>
    <row r="637" ht="12" customHeight="1" x14ac:dyDescent="0.2"/>
    <row r="638" ht="12" customHeight="1" x14ac:dyDescent="0.2"/>
    <row r="639" ht="12" customHeight="1" x14ac:dyDescent="0.2"/>
    <row r="640" ht="12" customHeight="1" x14ac:dyDescent="0.2"/>
    <row r="641" ht="12" customHeight="1" x14ac:dyDescent="0.2"/>
    <row r="642" ht="12" customHeight="1" x14ac:dyDescent="0.2"/>
    <row r="643" ht="12" customHeight="1" x14ac:dyDescent="0.2"/>
    <row r="644" ht="12" customHeight="1" x14ac:dyDescent="0.2"/>
    <row r="645" ht="12" customHeight="1" x14ac:dyDescent="0.2"/>
    <row r="646" ht="12" customHeight="1" x14ac:dyDescent="0.2"/>
    <row r="647" ht="12" customHeight="1" x14ac:dyDescent="0.2"/>
    <row r="648" ht="12" customHeight="1" x14ac:dyDescent="0.2"/>
    <row r="649" ht="12" customHeight="1" x14ac:dyDescent="0.2"/>
    <row r="650" ht="12" customHeight="1" x14ac:dyDescent="0.2"/>
    <row r="651" ht="12" customHeight="1" x14ac:dyDescent="0.2"/>
    <row r="652" ht="12" customHeight="1" x14ac:dyDescent="0.2"/>
    <row r="653" ht="12" customHeight="1" x14ac:dyDescent="0.2"/>
    <row r="654" ht="12" customHeight="1" x14ac:dyDescent="0.2"/>
    <row r="655" ht="12" customHeight="1" x14ac:dyDescent="0.2"/>
    <row r="656" ht="12" customHeight="1" x14ac:dyDescent="0.2"/>
    <row r="657" ht="12" customHeight="1" x14ac:dyDescent="0.2"/>
    <row r="658" ht="12" customHeight="1" x14ac:dyDescent="0.2"/>
    <row r="659" ht="12" customHeight="1" x14ac:dyDescent="0.2"/>
    <row r="660" ht="12" customHeight="1" x14ac:dyDescent="0.2"/>
    <row r="661" ht="12" customHeight="1" x14ac:dyDescent="0.2"/>
    <row r="662" ht="12" customHeight="1" x14ac:dyDescent="0.2"/>
    <row r="663" ht="12" customHeight="1" x14ac:dyDescent="0.2"/>
    <row r="664" ht="12" customHeight="1" x14ac:dyDescent="0.2"/>
    <row r="665" ht="12" customHeight="1" x14ac:dyDescent="0.2"/>
    <row r="666" ht="12" customHeight="1" x14ac:dyDescent="0.2"/>
    <row r="667" ht="12" customHeight="1" x14ac:dyDescent="0.2"/>
    <row r="668" ht="12" customHeight="1" x14ac:dyDescent="0.2"/>
    <row r="669" ht="12" customHeight="1" x14ac:dyDescent="0.2"/>
    <row r="670" ht="12" customHeight="1" x14ac:dyDescent="0.2"/>
    <row r="671" ht="12" customHeight="1" x14ac:dyDescent="0.2"/>
    <row r="672" ht="12" customHeight="1" x14ac:dyDescent="0.2"/>
    <row r="673" ht="12" customHeight="1" x14ac:dyDescent="0.2"/>
    <row r="674" ht="12" customHeight="1" x14ac:dyDescent="0.2"/>
    <row r="675" ht="12" customHeight="1" x14ac:dyDescent="0.2"/>
    <row r="676" ht="12" customHeight="1" x14ac:dyDescent="0.2"/>
    <row r="677" ht="12" customHeight="1" x14ac:dyDescent="0.2"/>
    <row r="678" ht="12" customHeight="1" x14ac:dyDescent="0.2"/>
    <row r="679" ht="12" customHeight="1" x14ac:dyDescent="0.2"/>
    <row r="680" ht="12" customHeight="1" x14ac:dyDescent="0.2"/>
    <row r="681" ht="12" customHeight="1" x14ac:dyDescent="0.2"/>
    <row r="682" ht="12" customHeight="1" x14ac:dyDescent="0.2"/>
    <row r="683" ht="12" customHeight="1" x14ac:dyDescent="0.2"/>
    <row r="684" ht="12" customHeight="1" x14ac:dyDescent="0.2"/>
    <row r="685" ht="12" customHeight="1" x14ac:dyDescent="0.2"/>
    <row r="686" ht="12" customHeight="1" x14ac:dyDescent="0.2"/>
    <row r="687" ht="12" customHeight="1" x14ac:dyDescent="0.2"/>
    <row r="688" ht="12" customHeight="1" x14ac:dyDescent="0.2"/>
    <row r="689" ht="12" customHeight="1" x14ac:dyDescent="0.2"/>
    <row r="690" ht="12" customHeight="1" x14ac:dyDescent="0.2"/>
    <row r="691" ht="12" customHeight="1" x14ac:dyDescent="0.2"/>
    <row r="692" ht="12" customHeight="1" x14ac:dyDescent="0.2"/>
    <row r="693" ht="12" customHeight="1" x14ac:dyDescent="0.2"/>
    <row r="694" ht="12" customHeight="1" x14ac:dyDescent="0.2"/>
    <row r="695" ht="12" customHeight="1" x14ac:dyDescent="0.2"/>
    <row r="696" ht="12" customHeight="1" x14ac:dyDescent="0.2"/>
    <row r="697" ht="12" customHeight="1" x14ac:dyDescent="0.2"/>
    <row r="698" ht="12" customHeight="1" x14ac:dyDescent="0.2"/>
    <row r="699" ht="12" customHeight="1" x14ac:dyDescent="0.2"/>
    <row r="700" ht="12" customHeight="1" x14ac:dyDescent="0.2"/>
    <row r="701" ht="12" customHeight="1" x14ac:dyDescent="0.2"/>
    <row r="702" ht="12" customHeight="1" x14ac:dyDescent="0.2"/>
    <row r="703" ht="12" customHeight="1" x14ac:dyDescent="0.2"/>
    <row r="704" ht="12" customHeight="1" x14ac:dyDescent="0.2"/>
    <row r="705" ht="12" customHeight="1" x14ac:dyDescent="0.2"/>
    <row r="706" ht="12" customHeight="1" x14ac:dyDescent="0.2"/>
    <row r="707" ht="12" customHeight="1" x14ac:dyDescent="0.2"/>
    <row r="708" ht="12" customHeight="1" x14ac:dyDescent="0.2"/>
    <row r="709" ht="12" customHeight="1" x14ac:dyDescent="0.2"/>
    <row r="710" ht="12" customHeight="1" x14ac:dyDescent="0.2"/>
    <row r="711" ht="12" customHeight="1" x14ac:dyDescent="0.2"/>
    <row r="712" ht="12" customHeight="1" x14ac:dyDescent="0.2"/>
    <row r="713" ht="12" customHeight="1" x14ac:dyDescent="0.2"/>
    <row r="714" ht="12" customHeight="1" x14ac:dyDescent="0.2"/>
    <row r="715" ht="12" customHeight="1" x14ac:dyDescent="0.2"/>
    <row r="716" ht="12" customHeight="1" x14ac:dyDescent="0.2"/>
    <row r="717" ht="12" customHeight="1" x14ac:dyDescent="0.2"/>
    <row r="718" ht="12" customHeight="1" x14ac:dyDescent="0.2"/>
    <row r="719" ht="12" customHeight="1" x14ac:dyDescent="0.2"/>
    <row r="720" ht="12" customHeight="1" x14ac:dyDescent="0.2"/>
    <row r="721" ht="12" customHeight="1" x14ac:dyDescent="0.2"/>
    <row r="722" ht="12" customHeight="1" x14ac:dyDescent="0.2"/>
    <row r="723" ht="12" customHeight="1" x14ac:dyDescent="0.2"/>
    <row r="724" ht="12" customHeight="1" x14ac:dyDescent="0.2"/>
    <row r="725" ht="12" customHeight="1" x14ac:dyDescent="0.2"/>
    <row r="726" ht="12" customHeight="1" x14ac:dyDescent="0.2"/>
    <row r="727" ht="12" customHeight="1" x14ac:dyDescent="0.2"/>
    <row r="728" ht="12" customHeight="1" x14ac:dyDescent="0.2"/>
    <row r="729" ht="12" customHeight="1" x14ac:dyDescent="0.2"/>
    <row r="730" ht="12" customHeight="1" x14ac:dyDescent="0.2"/>
    <row r="731" ht="12" customHeight="1" x14ac:dyDescent="0.2"/>
    <row r="732" ht="12" customHeight="1" x14ac:dyDescent="0.2"/>
    <row r="733" ht="12" customHeight="1" x14ac:dyDescent="0.2"/>
    <row r="734" ht="12" customHeight="1" x14ac:dyDescent="0.2"/>
    <row r="735" ht="12" customHeight="1" x14ac:dyDescent="0.2"/>
    <row r="736" ht="12" customHeight="1" x14ac:dyDescent="0.2"/>
    <row r="737" ht="12" customHeight="1" x14ac:dyDescent="0.2"/>
    <row r="738" ht="12" customHeight="1" x14ac:dyDescent="0.2"/>
    <row r="739" ht="12" customHeight="1" x14ac:dyDescent="0.2"/>
    <row r="740" ht="12" customHeight="1" x14ac:dyDescent="0.2"/>
    <row r="741" ht="12" customHeight="1" x14ac:dyDescent="0.2"/>
    <row r="742" ht="12" customHeight="1" x14ac:dyDescent="0.2"/>
    <row r="743" ht="12" customHeight="1" x14ac:dyDescent="0.2"/>
    <row r="744" ht="12" customHeight="1" x14ac:dyDescent="0.2"/>
    <row r="745" ht="12" customHeight="1" x14ac:dyDescent="0.2"/>
    <row r="746" ht="12" customHeight="1" x14ac:dyDescent="0.2"/>
    <row r="747" ht="12" customHeight="1" x14ac:dyDescent="0.2"/>
    <row r="748" ht="12" customHeight="1" x14ac:dyDescent="0.2"/>
    <row r="749" ht="12" customHeight="1" x14ac:dyDescent="0.2"/>
    <row r="750" ht="12" customHeight="1" x14ac:dyDescent="0.2"/>
    <row r="751" ht="12" customHeight="1" x14ac:dyDescent="0.2"/>
    <row r="752" ht="12" customHeight="1" x14ac:dyDescent="0.2"/>
    <row r="753" ht="12" customHeight="1" x14ac:dyDescent="0.2"/>
    <row r="754" ht="12" customHeight="1" x14ac:dyDescent="0.2"/>
    <row r="755" ht="12" customHeight="1" x14ac:dyDescent="0.2"/>
    <row r="756" ht="12" customHeight="1" x14ac:dyDescent="0.2"/>
    <row r="757" ht="12" customHeight="1" x14ac:dyDescent="0.2"/>
    <row r="758" ht="12" customHeight="1" x14ac:dyDescent="0.2"/>
    <row r="759" ht="12" customHeight="1" x14ac:dyDescent="0.2"/>
    <row r="760" ht="12" customHeight="1" x14ac:dyDescent="0.2"/>
    <row r="761" ht="12" customHeight="1" x14ac:dyDescent="0.2"/>
    <row r="762" ht="12" customHeight="1" x14ac:dyDescent="0.2"/>
    <row r="763" ht="12" customHeight="1" x14ac:dyDescent="0.2"/>
    <row r="764" ht="12" customHeight="1" x14ac:dyDescent="0.2"/>
    <row r="765" ht="12" customHeight="1" x14ac:dyDescent="0.2"/>
    <row r="766" ht="12" customHeight="1" x14ac:dyDescent="0.2"/>
    <row r="767" ht="12" customHeight="1" x14ac:dyDescent="0.2"/>
    <row r="768" ht="12" customHeight="1" x14ac:dyDescent="0.2"/>
    <row r="769" ht="12" customHeight="1" x14ac:dyDescent="0.2"/>
    <row r="770" ht="12" customHeight="1" x14ac:dyDescent="0.2"/>
    <row r="771" ht="12" customHeight="1" x14ac:dyDescent="0.2"/>
    <row r="772" ht="12" customHeight="1" x14ac:dyDescent="0.2"/>
    <row r="773" ht="12" customHeight="1" x14ac:dyDescent="0.2"/>
    <row r="774" ht="12" customHeight="1" x14ac:dyDescent="0.2"/>
    <row r="775" ht="12" customHeight="1" x14ac:dyDescent="0.2"/>
    <row r="776" ht="12" customHeight="1" x14ac:dyDescent="0.2"/>
    <row r="777" ht="12" customHeight="1" x14ac:dyDescent="0.2"/>
    <row r="778" ht="12" customHeight="1" x14ac:dyDescent="0.2"/>
    <row r="779" ht="12" customHeight="1" x14ac:dyDescent="0.2"/>
    <row r="780" ht="12" customHeight="1" x14ac:dyDescent="0.2"/>
    <row r="781" ht="12" customHeight="1" x14ac:dyDescent="0.2"/>
    <row r="782" ht="12" customHeight="1" x14ac:dyDescent="0.2"/>
    <row r="783" ht="12" customHeight="1" x14ac:dyDescent="0.2"/>
    <row r="784" ht="12" customHeight="1" x14ac:dyDescent="0.2"/>
    <row r="785" ht="12" customHeight="1" x14ac:dyDescent="0.2"/>
    <row r="786" ht="12" customHeight="1" x14ac:dyDescent="0.2"/>
    <row r="787" ht="12" customHeight="1" x14ac:dyDescent="0.2"/>
    <row r="788" ht="12" customHeight="1" x14ac:dyDescent="0.2"/>
    <row r="789" ht="12" customHeight="1" x14ac:dyDescent="0.2"/>
    <row r="790" ht="12" customHeight="1" x14ac:dyDescent="0.2"/>
    <row r="791" ht="12" customHeight="1" x14ac:dyDescent="0.2"/>
    <row r="792" ht="12" customHeight="1" x14ac:dyDescent="0.2"/>
    <row r="793" ht="12" customHeight="1" x14ac:dyDescent="0.2"/>
    <row r="794" ht="12" customHeight="1" x14ac:dyDescent="0.2"/>
    <row r="795" ht="12" customHeight="1" x14ac:dyDescent="0.2"/>
    <row r="796" ht="12" customHeight="1" x14ac:dyDescent="0.2"/>
    <row r="797" ht="12" customHeight="1" x14ac:dyDescent="0.2"/>
    <row r="798" ht="12" customHeight="1" x14ac:dyDescent="0.2"/>
    <row r="799" ht="12" customHeight="1" x14ac:dyDescent="0.2"/>
    <row r="800" ht="12" customHeight="1" x14ac:dyDescent="0.2"/>
    <row r="801" ht="12" customHeight="1" x14ac:dyDescent="0.2"/>
    <row r="802" ht="12" customHeight="1" x14ac:dyDescent="0.2"/>
    <row r="803" ht="12" customHeight="1" x14ac:dyDescent="0.2"/>
    <row r="804" ht="12" customHeight="1" x14ac:dyDescent="0.2"/>
    <row r="805" ht="12" customHeight="1" x14ac:dyDescent="0.2"/>
    <row r="806" ht="12" customHeight="1" x14ac:dyDescent="0.2"/>
    <row r="807" ht="12" customHeight="1" x14ac:dyDescent="0.2"/>
    <row r="808" ht="12" customHeight="1" x14ac:dyDescent="0.2"/>
    <row r="809" ht="12" customHeight="1" x14ac:dyDescent="0.2"/>
    <row r="810" ht="12" customHeight="1" x14ac:dyDescent="0.2"/>
    <row r="811" ht="12" customHeight="1" x14ac:dyDescent="0.2"/>
    <row r="812" ht="12" customHeight="1" x14ac:dyDescent="0.2"/>
    <row r="813" ht="12" customHeight="1" x14ac:dyDescent="0.2"/>
    <row r="814" ht="12" customHeight="1" x14ac:dyDescent="0.2"/>
    <row r="815" ht="12" customHeight="1" x14ac:dyDescent="0.2"/>
    <row r="816" ht="12" customHeight="1" x14ac:dyDescent="0.2"/>
    <row r="817" ht="12" customHeight="1" x14ac:dyDescent="0.2"/>
    <row r="818" ht="12" customHeight="1" x14ac:dyDescent="0.2"/>
    <row r="819" ht="12" customHeight="1" x14ac:dyDescent="0.2"/>
    <row r="820" ht="12" customHeight="1" x14ac:dyDescent="0.2"/>
    <row r="821" ht="12" customHeight="1" x14ac:dyDescent="0.2"/>
    <row r="822" ht="12" customHeight="1" x14ac:dyDescent="0.2"/>
    <row r="823" ht="12" customHeight="1" x14ac:dyDescent="0.2"/>
    <row r="824" ht="12" customHeight="1" x14ac:dyDescent="0.2"/>
    <row r="825" ht="12" customHeight="1" x14ac:dyDescent="0.2"/>
    <row r="826" ht="12" customHeight="1" x14ac:dyDescent="0.2"/>
    <row r="827" ht="12" customHeight="1" x14ac:dyDescent="0.2"/>
    <row r="828" ht="12" customHeight="1" x14ac:dyDescent="0.2"/>
    <row r="829" ht="12" customHeight="1" x14ac:dyDescent="0.2"/>
    <row r="830" ht="12" customHeight="1" x14ac:dyDescent="0.2"/>
    <row r="831" ht="12" customHeight="1" x14ac:dyDescent="0.2"/>
    <row r="832" ht="12" customHeight="1" x14ac:dyDescent="0.2"/>
    <row r="833" ht="12" customHeight="1" x14ac:dyDescent="0.2"/>
    <row r="834" ht="12" customHeight="1" x14ac:dyDescent="0.2"/>
    <row r="835" ht="12" customHeight="1" x14ac:dyDescent="0.2"/>
    <row r="836" ht="12" customHeight="1" x14ac:dyDescent="0.2"/>
    <row r="837" ht="12" customHeight="1" x14ac:dyDescent="0.2"/>
    <row r="838" ht="12" customHeight="1" x14ac:dyDescent="0.2"/>
    <row r="839" ht="12" customHeight="1" x14ac:dyDescent="0.2"/>
    <row r="840" ht="12" customHeight="1" x14ac:dyDescent="0.2"/>
    <row r="841" ht="12" customHeight="1" x14ac:dyDescent="0.2"/>
    <row r="842" ht="12" customHeight="1" x14ac:dyDescent="0.2"/>
    <row r="843" ht="12" customHeight="1" x14ac:dyDescent="0.2"/>
    <row r="844" ht="12" customHeight="1" x14ac:dyDescent="0.2"/>
    <row r="845" ht="12" customHeight="1" x14ac:dyDescent="0.2"/>
    <row r="846" ht="12" customHeight="1" x14ac:dyDescent="0.2"/>
    <row r="847" ht="12" customHeight="1" x14ac:dyDescent="0.2"/>
    <row r="848" ht="12" customHeight="1" x14ac:dyDescent="0.2"/>
    <row r="849" ht="12" customHeight="1" x14ac:dyDescent="0.2"/>
    <row r="850" ht="12" customHeight="1" x14ac:dyDescent="0.2"/>
    <row r="851" ht="12" customHeight="1" x14ac:dyDescent="0.2"/>
    <row r="852" ht="12" customHeight="1" x14ac:dyDescent="0.2"/>
    <row r="853" ht="12" customHeight="1" x14ac:dyDescent="0.2"/>
    <row r="854" ht="12" customHeight="1" x14ac:dyDescent="0.2"/>
    <row r="855" ht="12" customHeight="1" x14ac:dyDescent="0.2"/>
    <row r="856" ht="12" customHeight="1" x14ac:dyDescent="0.2"/>
    <row r="857" ht="12" customHeight="1" x14ac:dyDescent="0.2"/>
    <row r="858" ht="12" customHeight="1" x14ac:dyDescent="0.2"/>
    <row r="859" ht="12" customHeight="1" x14ac:dyDescent="0.2"/>
    <row r="860" ht="12" customHeight="1" x14ac:dyDescent="0.2"/>
    <row r="861" ht="12" customHeight="1" x14ac:dyDescent="0.2"/>
    <row r="862" ht="12" customHeight="1" x14ac:dyDescent="0.2"/>
    <row r="863" ht="12" customHeight="1" x14ac:dyDescent="0.2"/>
    <row r="864" ht="12" customHeight="1" x14ac:dyDescent="0.2"/>
    <row r="865" ht="12" customHeight="1" x14ac:dyDescent="0.2"/>
    <row r="866" ht="12" customHeight="1" x14ac:dyDescent="0.2"/>
    <row r="867" ht="12" customHeight="1" x14ac:dyDescent="0.2"/>
    <row r="868" ht="12" customHeight="1" x14ac:dyDescent="0.2"/>
    <row r="869" ht="12" customHeight="1" x14ac:dyDescent="0.2"/>
    <row r="870" ht="12" customHeight="1" x14ac:dyDescent="0.2"/>
    <row r="871" ht="12" customHeight="1" x14ac:dyDescent="0.2"/>
    <row r="872" ht="12" customHeight="1" x14ac:dyDescent="0.2"/>
    <row r="873" ht="12" customHeight="1" x14ac:dyDescent="0.2"/>
    <row r="874" ht="12" customHeight="1" x14ac:dyDescent="0.2"/>
    <row r="875" ht="12" customHeight="1" x14ac:dyDescent="0.2"/>
    <row r="876" ht="12" customHeight="1" x14ac:dyDescent="0.2"/>
    <row r="877" ht="12" customHeight="1" x14ac:dyDescent="0.2"/>
    <row r="878" ht="12" customHeight="1" x14ac:dyDescent="0.2"/>
    <row r="879" ht="12" customHeight="1" x14ac:dyDescent="0.2"/>
    <row r="880" ht="12" customHeight="1" x14ac:dyDescent="0.2"/>
    <row r="881" ht="12" customHeight="1" x14ac:dyDescent="0.2"/>
    <row r="882" ht="12" customHeight="1" x14ac:dyDescent="0.2"/>
    <row r="883" ht="12" customHeight="1" x14ac:dyDescent="0.2"/>
    <row r="884" ht="12" customHeight="1" x14ac:dyDescent="0.2"/>
    <row r="885" ht="12" customHeight="1" x14ac:dyDescent="0.2"/>
    <row r="886" ht="12" customHeight="1" x14ac:dyDescent="0.2"/>
    <row r="887" ht="12" customHeight="1" x14ac:dyDescent="0.2"/>
    <row r="888" ht="12" customHeight="1" x14ac:dyDescent="0.2"/>
    <row r="889" ht="12" customHeight="1" x14ac:dyDescent="0.2"/>
    <row r="890" ht="12" customHeight="1" x14ac:dyDescent="0.2"/>
    <row r="891" ht="12" customHeight="1" x14ac:dyDescent="0.2"/>
    <row r="892" ht="12" customHeight="1" x14ac:dyDescent="0.2"/>
    <row r="893" ht="12" customHeight="1" x14ac:dyDescent="0.2"/>
    <row r="894" ht="12" customHeight="1" x14ac:dyDescent="0.2"/>
    <row r="895" ht="12" customHeight="1" x14ac:dyDescent="0.2"/>
    <row r="896" ht="12" customHeight="1" x14ac:dyDescent="0.2"/>
    <row r="897" ht="12" customHeight="1" x14ac:dyDescent="0.2"/>
    <row r="898" ht="12" customHeight="1" x14ac:dyDescent="0.2"/>
    <row r="899" ht="12" customHeight="1" x14ac:dyDescent="0.2"/>
    <row r="900" ht="12" customHeight="1" x14ac:dyDescent="0.2"/>
    <row r="901" ht="12" customHeight="1" x14ac:dyDescent="0.2"/>
    <row r="902" ht="12" customHeight="1" x14ac:dyDescent="0.2"/>
    <row r="903" ht="12" customHeight="1" x14ac:dyDescent="0.2"/>
    <row r="904" ht="12" customHeight="1" x14ac:dyDescent="0.2"/>
    <row r="905" ht="12" customHeight="1" x14ac:dyDescent="0.2"/>
    <row r="906" ht="12" customHeight="1" x14ac:dyDescent="0.2"/>
    <row r="907" ht="12" customHeight="1" x14ac:dyDescent="0.2"/>
    <row r="908" ht="12" customHeight="1" x14ac:dyDescent="0.2"/>
    <row r="909" ht="12" customHeight="1" x14ac:dyDescent="0.2"/>
    <row r="910" ht="12" customHeight="1" x14ac:dyDescent="0.2"/>
    <row r="911" ht="12" customHeight="1" x14ac:dyDescent="0.2"/>
    <row r="912" ht="12" customHeight="1" x14ac:dyDescent="0.2"/>
    <row r="913" ht="12" customHeight="1" x14ac:dyDescent="0.2"/>
    <row r="914" ht="12" customHeight="1" x14ac:dyDescent="0.2"/>
    <row r="915" ht="12" customHeight="1" x14ac:dyDescent="0.2"/>
    <row r="916" ht="12" customHeight="1" x14ac:dyDescent="0.2"/>
    <row r="917" ht="12" customHeight="1" x14ac:dyDescent="0.2"/>
    <row r="918" ht="12" customHeight="1" x14ac:dyDescent="0.2"/>
    <row r="919" ht="12" customHeight="1" x14ac:dyDescent="0.2"/>
    <row r="920" ht="12" customHeight="1" x14ac:dyDescent="0.2"/>
    <row r="921" ht="12" customHeight="1" x14ac:dyDescent="0.2"/>
    <row r="922" ht="12" customHeight="1" x14ac:dyDescent="0.2"/>
    <row r="923" ht="12" customHeight="1" x14ac:dyDescent="0.2"/>
    <row r="924" ht="12" customHeight="1" x14ac:dyDescent="0.2"/>
    <row r="925" ht="12" customHeight="1" x14ac:dyDescent="0.2"/>
    <row r="926" ht="12" customHeight="1" x14ac:dyDescent="0.2"/>
    <row r="927" ht="12" customHeight="1" x14ac:dyDescent="0.2"/>
    <row r="928" ht="12" customHeight="1" x14ac:dyDescent="0.2"/>
    <row r="929" ht="12" customHeight="1" x14ac:dyDescent="0.2"/>
    <row r="930" ht="12" customHeight="1" x14ac:dyDescent="0.2"/>
    <row r="931" ht="12" customHeight="1" x14ac:dyDescent="0.2"/>
    <row r="932" ht="12" customHeight="1" x14ac:dyDescent="0.2"/>
    <row r="933" ht="12" customHeight="1" x14ac:dyDescent="0.2"/>
    <row r="934" ht="12" customHeight="1" x14ac:dyDescent="0.2"/>
    <row r="935" ht="12" customHeight="1" x14ac:dyDescent="0.2"/>
    <row r="936" ht="12" customHeight="1" x14ac:dyDescent="0.2"/>
    <row r="937" ht="12" customHeight="1" x14ac:dyDescent="0.2"/>
    <row r="938" ht="12" customHeight="1" x14ac:dyDescent="0.2"/>
    <row r="939" ht="12" customHeight="1" x14ac:dyDescent="0.2"/>
    <row r="940" ht="12" customHeight="1" x14ac:dyDescent="0.2"/>
    <row r="941" ht="12" customHeight="1" x14ac:dyDescent="0.2"/>
    <row r="942" ht="12" customHeight="1" x14ac:dyDescent="0.2"/>
    <row r="943" ht="12" customHeight="1" x14ac:dyDescent="0.2"/>
    <row r="944" ht="12" customHeight="1" x14ac:dyDescent="0.2"/>
    <row r="945" ht="12" customHeight="1" x14ac:dyDescent="0.2"/>
    <row r="946" ht="12" customHeight="1" x14ac:dyDescent="0.2"/>
    <row r="947" ht="12" customHeight="1" x14ac:dyDescent="0.2"/>
    <row r="948" ht="12" customHeight="1" x14ac:dyDescent="0.2"/>
    <row r="949" ht="12" customHeight="1" x14ac:dyDescent="0.2"/>
    <row r="950" ht="12" customHeight="1" x14ac:dyDescent="0.2"/>
    <row r="951" ht="12" customHeight="1" x14ac:dyDescent="0.2"/>
    <row r="952" ht="12" customHeight="1" x14ac:dyDescent="0.2"/>
    <row r="953" ht="12" customHeight="1" x14ac:dyDescent="0.2"/>
    <row r="954" ht="12" customHeight="1" x14ac:dyDescent="0.2"/>
    <row r="955" ht="12" customHeight="1" x14ac:dyDescent="0.2"/>
    <row r="956" ht="12" customHeight="1" x14ac:dyDescent="0.2"/>
    <row r="957" ht="12" customHeight="1" x14ac:dyDescent="0.2"/>
    <row r="958" ht="12" customHeight="1" x14ac:dyDescent="0.2"/>
    <row r="959" ht="12" customHeight="1" x14ac:dyDescent="0.2"/>
    <row r="960" ht="12" customHeight="1" x14ac:dyDescent="0.2"/>
    <row r="961" ht="12" customHeight="1" x14ac:dyDescent="0.2"/>
    <row r="962" ht="12" customHeight="1" x14ac:dyDescent="0.2"/>
    <row r="963" ht="12" customHeight="1" x14ac:dyDescent="0.2"/>
    <row r="964" ht="12" customHeight="1" x14ac:dyDescent="0.2"/>
    <row r="965" ht="12" customHeight="1" x14ac:dyDescent="0.2"/>
    <row r="966" ht="12" customHeight="1" x14ac:dyDescent="0.2"/>
    <row r="967" ht="12" customHeight="1" x14ac:dyDescent="0.2"/>
    <row r="968" ht="12" customHeight="1" x14ac:dyDescent="0.2"/>
    <row r="969" ht="12" customHeight="1" x14ac:dyDescent="0.2"/>
    <row r="970" ht="12" customHeight="1" x14ac:dyDescent="0.2"/>
    <row r="971" ht="12" customHeight="1" x14ac:dyDescent="0.2"/>
    <row r="972" ht="12" customHeight="1" x14ac:dyDescent="0.2"/>
    <row r="973" ht="12" customHeight="1" x14ac:dyDescent="0.2"/>
    <row r="974" ht="12" customHeight="1" x14ac:dyDescent="0.2"/>
    <row r="975" ht="12" customHeight="1" x14ac:dyDescent="0.2"/>
    <row r="976" ht="12" customHeight="1" x14ac:dyDescent="0.2"/>
    <row r="977" ht="12" customHeight="1" x14ac:dyDescent="0.2"/>
    <row r="978" ht="12" customHeight="1" x14ac:dyDescent="0.2"/>
    <row r="979" ht="12" customHeight="1" x14ac:dyDescent="0.2"/>
    <row r="980" ht="12" customHeight="1" x14ac:dyDescent="0.2"/>
    <row r="981" ht="12" customHeight="1" x14ac:dyDescent="0.2"/>
    <row r="982" ht="12" customHeight="1" x14ac:dyDescent="0.2"/>
    <row r="983" ht="12" customHeight="1" x14ac:dyDescent="0.2"/>
    <row r="984" ht="12" customHeight="1" x14ac:dyDescent="0.2"/>
    <row r="985" ht="12" customHeight="1" x14ac:dyDescent="0.2"/>
    <row r="986" ht="12" customHeight="1" x14ac:dyDescent="0.2"/>
    <row r="987" ht="12" customHeight="1" x14ac:dyDescent="0.2"/>
    <row r="988" ht="12" customHeight="1" x14ac:dyDescent="0.2"/>
    <row r="989" ht="12" customHeight="1" x14ac:dyDescent="0.2"/>
    <row r="990" ht="12" customHeight="1" x14ac:dyDescent="0.2"/>
    <row r="991" ht="12" customHeight="1" x14ac:dyDescent="0.2"/>
    <row r="992" ht="12" customHeight="1" x14ac:dyDescent="0.2"/>
    <row r="993" ht="12" customHeight="1" x14ac:dyDescent="0.2"/>
    <row r="994" ht="12" customHeight="1" x14ac:dyDescent="0.2"/>
    <row r="995" ht="12" customHeight="1" x14ac:dyDescent="0.2"/>
    <row r="996" ht="12" customHeight="1" x14ac:dyDescent="0.2"/>
    <row r="997" ht="12" customHeight="1" x14ac:dyDescent="0.2"/>
    <row r="998" ht="12" customHeight="1" x14ac:dyDescent="0.2"/>
    <row r="999" ht="12" customHeight="1" x14ac:dyDescent="0.2"/>
    <row r="1000" ht="12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B6CA-CCC5-49E3-9506-0A6473E8B61D}">
  <sheetPr codeName="Hoja2"/>
  <dimension ref="A1:O72"/>
  <sheetViews>
    <sheetView topLeftCell="A7" zoomScale="85" zoomScaleNormal="85" workbookViewId="0">
      <selection activeCell="J60" sqref="J60"/>
    </sheetView>
  </sheetViews>
  <sheetFormatPr baseColWidth="10" defaultRowHeight="12.75" x14ac:dyDescent="0.2"/>
  <cols>
    <col min="1" max="1" width="4.5703125" style="17" bestFit="1" customWidth="1"/>
    <col min="2" max="2" width="13.28515625" style="17" bestFit="1" customWidth="1"/>
    <col min="3" max="3" width="7.5703125" style="17" bestFit="1" customWidth="1"/>
    <col min="4" max="4" width="9.85546875" style="17" bestFit="1" customWidth="1"/>
    <col min="5" max="5" width="9.5703125" style="17" bestFit="1" customWidth="1"/>
    <col min="6" max="6" width="40.28515625" style="17" customWidth="1"/>
    <col min="7" max="7" width="33.7109375" style="17" customWidth="1"/>
    <col min="8" max="8" width="32.7109375" style="17" bestFit="1" customWidth="1"/>
    <col min="9" max="9" width="29.5703125" style="17" customWidth="1"/>
    <col min="10" max="11" width="21.28515625" style="17" customWidth="1"/>
    <col min="12" max="12" width="53.7109375" style="17" bestFit="1" customWidth="1"/>
    <col min="13" max="16384" width="11.42578125" style="17"/>
  </cols>
  <sheetData>
    <row r="1" spans="1:15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5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5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5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5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5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5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5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5" ht="13.5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JULIO</v>
      </c>
      <c r="K9" s="129"/>
      <c r="L9" s="19"/>
    </row>
    <row r="10" spans="1:15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</row>
    <row r="11" spans="1:15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21">
        <f>SUMIF(J25:J72,"=ESCUELA",E25:E72)</f>
        <v>39</v>
      </c>
      <c r="L11" s="19"/>
    </row>
    <row r="12" spans="1:15" ht="13.5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21">
        <f>SUMIF(J25:J72,"=BONO",E25:E72)</f>
        <v>18</v>
      </c>
      <c r="L12" s="19"/>
    </row>
    <row r="13" spans="1:15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21">
        <f>SUMIF(J25:J72,"=INFANTIL",E25:E72)</f>
        <v>0</v>
      </c>
      <c r="L13" s="19"/>
    </row>
    <row r="14" spans="1:15" ht="13.5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21">
        <f>SUMIF(J25:J72,"=CAPITANÍA",E25:E72)</f>
        <v>0</v>
      </c>
      <c r="L14" s="19"/>
    </row>
    <row r="15" spans="1:15" x14ac:dyDescent="0.2">
      <c r="A15" s="19"/>
      <c r="B15" s="19"/>
      <c r="C15" s="19"/>
      <c r="D15" s="138" t="s">
        <v>2</v>
      </c>
      <c r="E15" s="135" t="s">
        <v>95</v>
      </c>
      <c r="F15" s="19"/>
      <c r="G15" s="19"/>
      <c r="H15" s="19"/>
      <c r="I15" s="19"/>
      <c r="J15" s="20" t="s">
        <v>127</v>
      </c>
      <c r="K15" s="21">
        <f>SUMIF(J25:J72,"=PARTICULAR",E25:E72)</f>
        <v>13</v>
      </c>
      <c r="L15" s="19"/>
    </row>
    <row r="16" spans="1:15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21">
        <f>SUMIF(J25:J72,"=TORNEO",E25:E72)</f>
        <v>0</v>
      </c>
      <c r="L16" s="19"/>
      <c r="O16" s="17" t="s">
        <v>129</v>
      </c>
    </row>
    <row r="17" spans="1:12" ht="13.5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21">
        <f>SUMIF(J25:J72,"=COMPETICIÓN",E25:E72)</f>
        <v>1.5</v>
      </c>
      <c r="L17" s="16"/>
    </row>
    <row r="18" spans="1:12" ht="2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21">
        <f>SUMIF(J25:J72,"=CLASE-PARTIDO",E25:E72)</f>
        <v>0</v>
      </c>
      <c r="L18" s="16"/>
    </row>
    <row r="19" spans="1:12" x14ac:dyDescent="0.2">
      <c r="C19" s="16"/>
      <c r="F19" s="16"/>
      <c r="G19" s="16"/>
      <c r="H19" s="16"/>
      <c r="I19" s="16"/>
      <c r="J19" s="23"/>
      <c r="K19" s="24">
        <f>SUM(K11:K18)</f>
        <v>71.5</v>
      </c>
      <c r="L19" s="16"/>
    </row>
    <row r="20" spans="1:12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12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ht="13.5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ht="21.75" thickBot="1" x14ac:dyDescent="0.25">
      <c r="A24" s="25" t="s">
        <v>155</v>
      </c>
      <c r="B24" s="26" t="s">
        <v>156</v>
      </c>
      <c r="C24" s="27" t="s">
        <v>132</v>
      </c>
      <c r="D24" s="27" t="s">
        <v>133</v>
      </c>
      <c r="E24" s="28" t="s">
        <v>157</v>
      </c>
      <c r="F24" s="26" t="s">
        <v>134</v>
      </c>
      <c r="G24" s="26" t="s">
        <v>135</v>
      </c>
      <c r="H24" s="26" t="s">
        <v>136</v>
      </c>
      <c r="I24" s="26" t="s">
        <v>137</v>
      </c>
      <c r="J24" s="26" t="s">
        <v>3</v>
      </c>
      <c r="K24" s="26" t="s">
        <v>4</v>
      </c>
      <c r="L24" s="29" t="s">
        <v>138</v>
      </c>
    </row>
    <row r="25" spans="1:12" x14ac:dyDescent="0.2">
      <c r="A25" s="30">
        <v>1</v>
      </c>
      <c r="B25" s="31">
        <v>1</v>
      </c>
      <c r="C25" s="32" t="s">
        <v>85</v>
      </c>
      <c r="D25" s="32" t="s">
        <v>24</v>
      </c>
      <c r="E25" s="31">
        <v>3</v>
      </c>
      <c r="F25" s="32"/>
      <c r="G25" s="32"/>
      <c r="H25" s="32"/>
      <c r="I25" s="32"/>
      <c r="J25" s="31" t="s">
        <v>7</v>
      </c>
      <c r="K25" s="31" t="s">
        <v>8</v>
      </c>
      <c r="L25" s="33" t="s">
        <v>139</v>
      </c>
    </row>
    <row r="26" spans="1:12" x14ac:dyDescent="0.2">
      <c r="A26" s="34">
        <v>2</v>
      </c>
      <c r="B26" s="35">
        <v>2</v>
      </c>
      <c r="C26" s="36" t="s">
        <v>122</v>
      </c>
      <c r="D26" s="36" t="s">
        <v>85</v>
      </c>
      <c r="E26" s="35">
        <v>1.5</v>
      </c>
      <c r="F26" s="32" t="s">
        <v>140</v>
      </c>
      <c r="G26" s="32" t="s">
        <v>141</v>
      </c>
      <c r="H26" s="32" t="s">
        <v>142</v>
      </c>
      <c r="I26" s="32"/>
      <c r="J26" s="35" t="s">
        <v>7</v>
      </c>
      <c r="K26" s="35" t="s">
        <v>8</v>
      </c>
      <c r="L26" s="37"/>
    </row>
    <row r="27" spans="1:12" x14ac:dyDescent="0.2">
      <c r="A27" s="34">
        <v>3</v>
      </c>
      <c r="B27" s="35">
        <v>2</v>
      </c>
      <c r="C27" s="36" t="s">
        <v>85</v>
      </c>
      <c r="D27" s="36" t="s">
        <v>24</v>
      </c>
      <c r="E27" s="35">
        <v>3</v>
      </c>
      <c r="F27" s="32"/>
      <c r="G27" s="32"/>
      <c r="H27" s="32"/>
      <c r="I27" s="32"/>
      <c r="J27" s="35" t="s">
        <v>7</v>
      </c>
      <c r="K27" s="35" t="s">
        <v>8</v>
      </c>
      <c r="L27" s="37" t="s">
        <v>139</v>
      </c>
    </row>
    <row r="28" spans="1:12" x14ac:dyDescent="0.2">
      <c r="A28" s="34">
        <v>4</v>
      </c>
      <c r="B28" s="35">
        <v>2</v>
      </c>
      <c r="C28" s="36" t="s">
        <v>25</v>
      </c>
      <c r="D28" s="36" t="s">
        <v>19</v>
      </c>
      <c r="E28" s="35">
        <v>1</v>
      </c>
      <c r="F28" s="32" t="s">
        <v>143</v>
      </c>
      <c r="G28" s="32"/>
      <c r="H28" s="32"/>
      <c r="I28" s="32"/>
      <c r="J28" s="35" t="s">
        <v>21</v>
      </c>
      <c r="K28" s="35" t="s">
        <v>8</v>
      </c>
      <c r="L28" s="37"/>
    </row>
    <row r="29" spans="1:12" x14ac:dyDescent="0.2">
      <c r="A29" s="34">
        <v>5</v>
      </c>
      <c r="B29" s="35">
        <v>2</v>
      </c>
      <c r="C29" s="36" t="s">
        <v>19</v>
      </c>
      <c r="D29" s="36" t="s">
        <v>9</v>
      </c>
      <c r="E29" s="35">
        <v>1</v>
      </c>
      <c r="F29" s="32" t="s">
        <v>144</v>
      </c>
      <c r="G29" s="32"/>
      <c r="H29" s="32"/>
      <c r="I29" s="32"/>
      <c r="J29" s="35" t="s">
        <v>15</v>
      </c>
      <c r="K29" s="35" t="s">
        <v>8</v>
      </c>
      <c r="L29" s="37"/>
    </row>
    <row r="30" spans="1:12" x14ac:dyDescent="0.2">
      <c r="A30" s="34">
        <v>6</v>
      </c>
      <c r="B30" s="35">
        <v>3</v>
      </c>
      <c r="C30" s="36" t="s">
        <v>79</v>
      </c>
      <c r="D30" s="36" t="s">
        <v>85</v>
      </c>
      <c r="E30" s="35">
        <v>1</v>
      </c>
      <c r="F30" s="32" t="s">
        <v>145</v>
      </c>
      <c r="G30" s="32"/>
      <c r="H30" s="32"/>
      <c r="I30" s="32"/>
      <c r="J30" s="35" t="s">
        <v>15</v>
      </c>
      <c r="K30" s="35" t="s">
        <v>8</v>
      </c>
      <c r="L30" s="37"/>
    </row>
    <row r="31" spans="1:12" x14ac:dyDescent="0.2">
      <c r="A31" s="34">
        <v>7</v>
      </c>
      <c r="B31" s="35">
        <v>3</v>
      </c>
      <c r="C31" s="36" t="s">
        <v>85</v>
      </c>
      <c r="D31" s="36" t="s">
        <v>24</v>
      </c>
      <c r="E31" s="35">
        <v>3</v>
      </c>
      <c r="F31" s="32"/>
      <c r="G31" s="32"/>
      <c r="H31" s="32"/>
      <c r="I31" s="32"/>
      <c r="J31" s="35" t="s">
        <v>7</v>
      </c>
      <c r="K31" s="35" t="s">
        <v>8</v>
      </c>
      <c r="L31" s="37" t="s">
        <v>139</v>
      </c>
    </row>
    <row r="32" spans="1:12" x14ac:dyDescent="0.2">
      <c r="A32" s="34">
        <v>8</v>
      </c>
      <c r="B32" s="35">
        <v>3</v>
      </c>
      <c r="C32" s="36" t="s">
        <v>25</v>
      </c>
      <c r="D32" s="36" t="s">
        <v>19</v>
      </c>
      <c r="E32" s="35">
        <v>1</v>
      </c>
      <c r="F32" s="32" t="s">
        <v>146</v>
      </c>
      <c r="G32" s="32"/>
      <c r="H32" s="32"/>
      <c r="I32" s="32"/>
      <c r="J32" s="35" t="s">
        <v>15</v>
      </c>
      <c r="K32" s="35" t="s">
        <v>8</v>
      </c>
      <c r="L32" s="37"/>
    </row>
    <row r="33" spans="1:12" x14ac:dyDescent="0.2">
      <c r="A33" s="34">
        <v>9</v>
      </c>
      <c r="B33" s="35">
        <v>3</v>
      </c>
      <c r="C33" s="36" t="s">
        <v>19</v>
      </c>
      <c r="D33" s="36" t="s">
        <v>9</v>
      </c>
      <c r="E33" s="35">
        <v>1</v>
      </c>
      <c r="F33" s="32" t="s">
        <v>147</v>
      </c>
      <c r="G33" s="32"/>
      <c r="H33" s="32"/>
      <c r="I33" s="32"/>
      <c r="J33" s="35" t="s">
        <v>15</v>
      </c>
      <c r="K33" s="35" t="s">
        <v>8</v>
      </c>
      <c r="L33" s="37"/>
    </row>
    <row r="34" spans="1:12" x14ac:dyDescent="0.2">
      <c r="A34" s="34">
        <v>10</v>
      </c>
      <c r="B34" s="35">
        <v>3</v>
      </c>
      <c r="C34" s="36" t="s">
        <v>27</v>
      </c>
      <c r="D34" s="36" t="s">
        <v>12</v>
      </c>
      <c r="E34" s="35">
        <v>1.5</v>
      </c>
      <c r="F34" s="32"/>
      <c r="G34" s="32"/>
      <c r="H34" s="32"/>
      <c r="I34" s="32"/>
      <c r="J34" s="35" t="s">
        <v>65</v>
      </c>
      <c r="K34" s="35" t="s">
        <v>8</v>
      </c>
      <c r="L34" s="37" t="s">
        <v>148</v>
      </c>
    </row>
    <row r="35" spans="1:12" x14ac:dyDescent="0.2">
      <c r="A35" s="34">
        <v>11</v>
      </c>
      <c r="B35" s="35">
        <v>4</v>
      </c>
      <c r="C35" s="36" t="s">
        <v>122</v>
      </c>
      <c r="D35" s="36" t="s">
        <v>85</v>
      </c>
      <c r="E35" s="35">
        <v>1.5</v>
      </c>
      <c r="F35" s="32" t="s">
        <v>140</v>
      </c>
      <c r="G35" s="32" t="s">
        <v>141</v>
      </c>
      <c r="H35" s="32" t="s">
        <v>142</v>
      </c>
      <c r="I35" s="32"/>
      <c r="J35" s="35" t="s">
        <v>7</v>
      </c>
      <c r="K35" s="35" t="s">
        <v>8</v>
      </c>
      <c r="L35" s="37"/>
    </row>
    <row r="36" spans="1:12" x14ac:dyDescent="0.2">
      <c r="A36" s="34">
        <v>12</v>
      </c>
      <c r="B36" s="35">
        <v>4</v>
      </c>
      <c r="C36" s="36" t="s">
        <v>85</v>
      </c>
      <c r="D36" s="36" t="s">
        <v>24</v>
      </c>
      <c r="E36" s="35">
        <v>3</v>
      </c>
      <c r="F36" s="32"/>
      <c r="G36" s="32"/>
      <c r="H36" s="32"/>
      <c r="I36" s="32"/>
      <c r="J36" s="35" t="s">
        <v>7</v>
      </c>
      <c r="K36" s="35" t="s">
        <v>8</v>
      </c>
      <c r="L36" s="37"/>
    </row>
    <row r="37" spans="1:12" x14ac:dyDescent="0.2">
      <c r="A37" s="34">
        <v>13</v>
      </c>
      <c r="B37" s="35">
        <v>4</v>
      </c>
      <c r="C37" s="36" t="s">
        <v>19</v>
      </c>
      <c r="D37" s="36" t="s">
        <v>9</v>
      </c>
      <c r="E37" s="35">
        <v>1</v>
      </c>
      <c r="F37" s="32" t="s">
        <v>147</v>
      </c>
      <c r="G37" s="32"/>
      <c r="H37" s="32"/>
      <c r="I37" s="32"/>
      <c r="J37" s="35" t="s">
        <v>15</v>
      </c>
      <c r="K37" s="35" t="s">
        <v>8</v>
      </c>
      <c r="L37" s="37"/>
    </row>
    <row r="38" spans="1:12" x14ac:dyDescent="0.2">
      <c r="A38" s="34">
        <v>14</v>
      </c>
      <c r="B38" s="35">
        <v>5</v>
      </c>
      <c r="C38" s="36" t="s">
        <v>85</v>
      </c>
      <c r="D38" s="36" t="s">
        <v>24</v>
      </c>
      <c r="E38" s="35">
        <v>3</v>
      </c>
      <c r="F38" s="32"/>
      <c r="G38" s="32"/>
      <c r="H38" s="32"/>
      <c r="I38" s="32"/>
      <c r="J38" s="35" t="s">
        <v>7</v>
      </c>
      <c r="K38" s="35" t="s">
        <v>8</v>
      </c>
      <c r="L38" s="37" t="s">
        <v>139</v>
      </c>
    </row>
    <row r="39" spans="1:12" x14ac:dyDescent="0.2">
      <c r="A39" s="34">
        <v>15</v>
      </c>
      <c r="B39" s="35">
        <v>8</v>
      </c>
      <c r="C39" s="36" t="s">
        <v>79</v>
      </c>
      <c r="D39" s="36" t="s">
        <v>85</v>
      </c>
      <c r="E39" s="35">
        <v>1</v>
      </c>
      <c r="F39" s="32" t="s">
        <v>149</v>
      </c>
      <c r="G39" s="32" t="s">
        <v>150</v>
      </c>
      <c r="H39" s="32"/>
      <c r="I39" s="32"/>
      <c r="J39" s="35" t="s">
        <v>15</v>
      </c>
      <c r="K39" s="35" t="s">
        <v>8</v>
      </c>
      <c r="L39" s="37"/>
    </row>
    <row r="40" spans="1:12" x14ac:dyDescent="0.2">
      <c r="A40" s="34">
        <v>16</v>
      </c>
      <c r="B40" s="35">
        <v>8</v>
      </c>
      <c r="C40" s="36" t="s">
        <v>85</v>
      </c>
      <c r="D40" s="36" t="s">
        <v>24</v>
      </c>
      <c r="E40" s="35">
        <v>3</v>
      </c>
      <c r="F40" s="32"/>
      <c r="G40" s="32"/>
      <c r="H40" s="32"/>
      <c r="I40" s="32"/>
      <c r="J40" s="35" t="s">
        <v>7</v>
      </c>
      <c r="K40" s="35" t="s">
        <v>8</v>
      </c>
      <c r="L40" s="37" t="s">
        <v>139</v>
      </c>
    </row>
    <row r="41" spans="1:12" x14ac:dyDescent="0.2">
      <c r="A41" s="34">
        <v>17</v>
      </c>
      <c r="B41" s="35">
        <v>8</v>
      </c>
      <c r="C41" s="36" t="s">
        <v>24</v>
      </c>
      <c r="D41" s="36" t="s">
        <v>19</v>
      </c>
      <c r="E41" s="35">
        <v>2</v>
      </c>
      <c r="F41" s="32" t="s">
        <v>151</v>
      </c>
      <c r="G41" s="32"/>
      <c r="H41" s="32"/>
      <c r="I41" s="32"/>
      <c r="J41" s="35" t="s">
        <v>15</v>
      </c>
      <c r="K41" s="35" t="s">
        <v>8</v>
      </c>
      <c r="L41" s="37"/>
    </row>
    <row r="42" spans="1:12" x14ac:dyDescent="0.2">
      <c r="A42" s="34">
        <v>18</v>
      </c>
      <c r="B42" s="35">
        <v>9</v>
      </c>
      <c r="C42" s="36" t="s">
        <v>122</v>
      </c>
      <c r="D42" s="36" t="s">
        <v>85</v>
      </c>
      <c r="E42" s="35">
        <v>1.5</v>
      </c>
      <c r="F42" s="32" t="s">
        <v>140</v>
      </c>
      <c r="G42" s="32" t="s">
        <v>141</v>
      </c>
      <c r="H42" s="32" t="s">
        <v>142</v>
      </c>
      <c r="I42" s="32"/>
      <c r="J42" s="35" t="s">
        <v>7</v>
      </c>
      <c r="K42" s="35" t="s">
        <v>8</v>
      </c>
      <c r="L42" s="37"/>
    </row>
    <row r="43" spans="1:12" x14ac:dyDescent="0.2">
      <c r="A43" s="34">
        <v>19</v>
      </c>
      <c r="B43" s="35">
        <v>9</v>
      </c>
      <c r="C43" s="36" t="s">
        <v>85</v>
      </c>
      <c r="D43" s="36" t="s">
        <v>24</v>
      </c>
      <c r="E43" s="35">
        <v>3</v>
      </c>
      <c r="F43" s="32"/>
      <c r="G43" s="32"/>
      <c r="H43" s="32"/>
      <c r="I43" s="32"/>
      <c r="J43" s="35" t="s">
        <v>7</v>
      </c>
      <c r="K43" s="35" t="s">
        <v>8</v>
      </c>
      <c r="L43" s="37"/>
    </row>
    <row r="44" spans="1:12" x14ac:dyDescent="0.2">
      <c r="A44" s="34">
        <v>20</v>
      </c>
      <c r="B44" s="35">
        <v>9</v>
      </c>
      <c r="C44" s="36" t="s">
        <v>24</v>
      </c>
      <c r="D44" s="36" t="s">
        <v>19</v>
      </c>
      <c r="E44" s="35">
        <v>2</v>
      </c>
      <c r="F44" s="32" t="s">
        <v>151</v>
      </c>
      <c r="G44" s="32"/>
      <c r="H44" s="32"/>
      <c r="I44" s="32"/>
      <c r="J44" s="35" t="s">
        <v>15</v>
      </c>
      <c r="K44" s="35" t="s">
        <v>8</v>
      </c>
      <c r="L44" s="37"/>
    </row>
    <row r="45" spans="1:12" x14ac:dyDescent="0.2">
      <c r="A45" s="34">
        <v>21</v>
      </c>
      <c r="B45" s="35">
        <v>10</v>
      </c>
      <c r="C45" s="36" t="s">
        <v>85</v>
      </c>
      <c r="D45" s="36" t="s">
        <v>24</v>
      </c>
      <c r="E45" s="35">
        <v>3</v>
      </c>
      <c r="F45" s="32"/>
      <c r="G45" s="32"/>
      <c r="H45" s="32"/>
      <c r="I45" s="32"/>
      <c r="J45" s="35" t="s">
        <v>7</v>
      </c>
      <c r="K45" s="35" t="s">
        <v>8</v>
      </c>
      <c r="L45" s="37"/>
    </row>
    <row r="46" spans="1:12" ht="11.65" customHeight="1" x14ac:dyDescent="0.2">
      <c r="A46" s="34">
        <v>22</v>
      </c>
      <c r="B46" s="35">
        <v>10</v>
      </c>
      <c r="C46" s="36" t="s">
        <v>24</v>
      </c>
      <c r="D46" s="36" t="s">
        <v>19</v>
      </c>
      <c r="E46" s="35">
        <v>2</v>
      </c>
      <c r="F46" s="32" t="s">
        <v>151</v>
      </c>
      <c r="G46" s="32"/>
      <c r="H46" s="32"/>
      <c r="I46" s="32"/>
      <c r="J46" s="35" t="s">
        <v>15</v>
      </c>
      <c r="K46" s="35" t="s">
        <v>8</v>
      </c>
      <c r="L46" s="37"/>
    </row>
    <row r="47" spans="1:12" ht="13.15" customHeight="1" x14ac:dyDescent="0.2">
      <c r="A47" s="34">
        <v>23</v>
      </c>
      <c r="B47" s="35">
        <v>11</v>
      </c>
      <c r="C47" s="36" t="s">
        <v>122</v>
      </c>
      <c r="D47" s="36" t="s">
        <v>85</v>
      </c>
      <c r="E47" s="35">
        <v>1.5</v>
      </c>
      <c r="F47" s="32" t="s">
        <v>140</v>
      </c>
      <c r="G47" s="32" t="s">
        <v>141</v>
      </c>
      <c r="H47" s="32" t="s">
        <v>142</v>
      </c>
      <c r="I47" s="32"/>
      <c r="J47" s="35" t="s">
        <v>7</v>
      </c>
      <c r="K47" s="35" t="s">
        <v>8</v>
      </c>
      <c r="L47" s="37"/>
    </row>
    <row r="48" spans="1:12" x14ac:dyDescent="0.2">
      <c r="A48" s="34">
        <v>24</v>
      </c>
      <c r="B48" s="35">
        <v>11</v>
      </c>
      <c r="C48" s="36" t="s">
        <v>85</v>
      </c>
      <c r="D48" s="36" t="s">
        <v>24</v>
      </c>
      <c r="E48" s="35">
        <v>3</v>
      </c>
      <c r="F48" s="32"/>
      <c r="G48" s="32"/>
      <c r="H48" s="32"/>
      <c r="I48" s="32"/>
      <c r="J48" s="35" t="s">
        <v>7</v>
      </c>
      <c r="K48" s="35" t="s">
        <v>8</v>
      </c>
      <c r="L48" s="37"/>
    </row>
    <row r="49" spans="1:12" x14ac:dyDescent="0.2">
      <c r="A49" s="34">
        <v>25</v>
      </c>
      <c r="B49" s="35">
        <v>11</v>
      </c>
      <c r="C49" s="36" t="s">
        <v>24</v>
      </c>
      <c r="D49" s="36" t="s">
        <v>19</v>
      </c>
      <c r="E49" s="35">
        <v>2</v>
      </c>
      <c r="F49" s="32" t="s">
        <v>151</v>
      </c>
      <c r="G49" s="32"/>
      <c r="H49" s="32"/>
      <c r="I49" s="32"/>
      <c r="J49" s="35" t="s">
        <v>15</v>
      </c>
      <c r="K49" s="35" t="s">
        <v>8</v>
      </c>
      <c r="L49" s="37"/>
    </row>
    <row r="50" spans="1:12" x14ac:dyDescent="0.2">
      <c r="A50" s="34">
        <v>26</v>
      </c>
      <c r="B50" s="35">
        <v>12</v>
      </c>
      <c r="C50" s="36" t="s">
        <v>85</v>
      </c>
      <c r="D50" s="36" t="s">
        <v>24</v>
      </c>
      <c r="E50" s="35">
        <v>3</v>
      </c>
      <c r="F50" s="32"/>
      <c r="G50" s="32"/>
      <c r="H50" s="32"/>
      <c r="I50" s="32"/>
      <c r="J50" s="35" t="s">
        <v>7</v>
      </c>
      <c r="K50" s="35" t="s">
        <v>8</v>
      </c>
      <c r="L50" s="37"/>
    </row>
    <row r="51" spans="1:12" x14ac:dyDescent="0.2">
      <c r="A51" s="34">
        <v>27</v>
      </c>
      <c r="B51" s="35">
        <v>12</v>
      </c>
      <c r="C51" s="36" t="s">
        <v>24</v>
      </c>
      <c r="D51" s="36" t="s">
        <v>19</v>
      </c>
      <c r="E51" s="35">
        <v>2</v>
      </c>
      <c r="F51" s="32" t="s">
        <v>151</v>
      </c>
      <c r="G51" s="32"/>
      <c r="H51" s="32"/>
      <c r="I51" s="32"/>
      <c r="J51" s="35" t="s">
        <v>15</v>
      </c>
      <c r="K51" s="35" t="s">
        <v>8</v>
      </c>
      <c r="L51" s="37"/>
    </row>
    <row r="52" spans="1:12" x14ac:dyDescent="0.2">
      <c r="A52" s="34">
        <v>28</v>
      </c>
      <c r="B52" s="35">
        <v>15</v>
      </c>
      <c r="C52" s="36" t="s">
        <v>85</v>
      </c>
      <c r="D52" s="36" t="s">
        <v>24</v>
      </c>
      <c r="E52" s="35">
        <v>3</v>
      </c>
      <c r="F52" s="32" t="s">
        <v>151</v>
      </c>
      <c r="G52" s="32" t="s">
        <v>152</v>
      </c>
      <c r="H52" s="32"/>
      <c r="I52" s="32"/>
      <c r="J52" s="35" t="s">
        <v>21</v>
      </c>
      <c r="K52" s="35" t="s">
        <v>8</v>
      </c>
      <c r="L52" s="37"/>
    </row>
    <row r="53" spans="1:12" x14ac:dyDescent="0.2">
      <c r="A53" s="34">
        <v>29</v>
      </c>
      <c r="B53" s="35">
        <v>16</v>
      </c>
      <c r="C53" s="36" t="s">
        <v>122</v>
      </c>
      <c r="D53" s="36" t="s">
        <v>85</v>
      </c>
      <c r="E53" s="35">
        <v>1.5</v>
      </c>
      <c r="F53" s="32" t="s">
        <v>140</v>
      </c>
      <c r="G53" s="32" t="s">
        <v>142</v>
      </c>
      <c r="H53" s="32" t="s">
        <v>141</v>
      </c>
      <c r="I53" s="32"/>
      <c r="J53" s="35" t="s">
        <v>7</v>
      </c>
      <c r="K53" s="35" t="s">
        <v>8</v>
      </c>
      <c r="L53" s="37"/>
    </row>
    <row r="54" spans="1:12" x14ac:dyDescent="0.2">
      <c r="A54" s="34">
        <v>30</v>
      </c>
      <c r="B54" s="35">
        <v>16</v>
      </c>
      <c r="C54" s="36" t="s">
        <v>85</v>
      </c>
      <c r="D54" s="36" t="s">
        <v>24</v>
      </c>
      <c r="E54" s="35">
        <v>3</v>
      </c>
      <c r="F54" s="32" t="s">
        <v>151</v>
      </c>
      <c r="G54" s="32" t="s">
        <v>152</v>
      </c>
      <c r="H54" s="32"/>
      <c r="I54" s="32"/>
      <c r="J54" s="35" t="s">
        <v>21</v>
      </c>
      <c r="K54" s="35" t="s">
        <v>8</v>
      </c>
      <c r="L54" s="37"/>
    </row>
    <row r="55" spans="1:12" x14ac:dyDescent="0.2">
      <c r="A55" s="34">
        <v>31</v>
      </c>
      <c r="B55" s="35">
        <v>16</v>
      </c>
      <c r="C55" s="36" t="s">
        <v>24</v>
      </c>
      <c r="D55" s="36" t="s">
        <v>25</v>
      </c>
      <c r="E55" s="35">
        <v>1</v>
      </c>
      <c r="F55" s="32" t="s">
        <v>141</v>
      </c>
      <c r="G55" s="32"/>
      <c r="H55" s="32"/>
      <c r="I55" s="32"/>
      <c r="J55" s="35" t="s">
        <v>15</v>
      </c>
      <c r="K55" s="35" t="s">
        <v>8</v>
      </c>
      <c r="L55" s="37"/>
    </row>
    <row r="56" spans="1:12" x14ac:dyDescent="0.2">
      <c r="A56" s="34">
        <v>32</v>
      </c>
      <c r="B56" s="35">
        <v>17</v>
      </c>
      <c r="C56" s="36" t="s">
        <v>79</v>
      </c>
      <c r="D56" s="36" t="s">
        <v>85</v>
      </c>
      <c r="E56" s="35">
        <v>1</v>
      </c>
      <c r="F56" s="32" t="s">
        <v>145</v>
      </c>
      <c r="G56" s="32"/>
      <c r="H56" s="32"/>
      <c r="I56" s="32"/>
      <c r="J56" s="35" t="s">
        <v>15</v>
      </c>
      <c r="K56" s="35" t="s">
        <v>8</v>
      </c>
      <c r="L56" s="37"/>
    </row>
    <row r="57" spans="1:12" x14ac:dyDescent="0.2">
      <c r="A57" s="34">
        <v>34</v>
      </c>
      <c r="B57" s="35">
        <v>17</v>
      </c>
      <c r="C57" s="36" t="s">
        <v>85</v>
      </c>
      <c r="D57" s="36" t="s">
        <v>24</v>
      </c>
      <c r="E57" s="35">
        <v>3</v>
      </c>
      <c r="F57" s="36" t="s">
        <v>151</v>
      </c>
      <c r="G57" s="36" t="s">
        <v>152</v>
      </c>
      <c r="H57" s="36" t="s">
        <v>153</v>
      </c>
      <c r="I57" s="36"/>
      <c r="J57" s="35" t="s">
        <v>21</v>
      </c>
      <c r="K57" s="35" t="s">
        <v>8</v>
      </c>
      <c r="L57" s="37"/>
    </row>
    <row r="58" spans="1:12" x14ac:dyDescent="0.2">
      <c r="A58" s="34">
        <v>35</v>
      </c>
      <c r="B58" s="35">
        <v>18</v>
      </c>
      <c r="C58" s="36" t="s">
        <v>122</v>
      </c>
      <c r="D58" s="36" t="s">
        <v>85</v>
      </c>
      <c r="E58" s="35">
        <v>1.5</v>
      </c>
      <c r="F58" s="36" t="s">
        <v>140</v>
      </c>
      <c r="G58" s="36" t="s">
        <v>141</v>
      </c>
      <c r="H58" s="36"/>
      <c r="I58" s="36"/>
      <c r="J58" s="35" t="s">
        <v>7</v>
      </c>
      <c r="K58" s="35" t="s">
        <v>8</v>
      </c>
      <c r="L58" s="37"/>
    </row>
    <row r="59" spans="1:12" x14ac:dyDescent="0.2">
      <c r="A59" s="34">
        <v>36</v>
      </c>
      <c r="B59" s="35">
        <v>18</v>
      </c>
      <c r="C59" s="36" t="s">
        <v>85</v>
      </c>
      <c r="D59" s="36" t="s">
        <v>24</v>
      </c>
      <c r="E59" s="35">
        <v>3</v>
      </c>
      <c r="F59" s="36" t="s">
        <v>154</v>
      </c>
      <c r="G59" s="36" t="s">
        <v>151</v>
      </c>
      <c r="H59" s="36" t="s">
        <v>152</v>
      </c>
      <c r="I59" s="36" t="s">
        <v>153</v>
      </c>
      <c r="J59" s="35" t="s">
        <v>21</v>
      </c>
      <c r="K59" s="35" t="s">
        <v>8</v>
      </c>
      <c r="L59" s="37"/>
    </row>
    <row r="60" spans="1:12" x14ac:dyDescent="0.2">
      <c r="A60" s="34">
        <v>37</v>
      </c>
      <c r="B60" s="35"/>
      <c r="C60" s="36"/>
      <c r="D60" s="36"/>
      <c r="E60" s="35"/>
      <c r="F60" s="32"/>
      <c r="G60" s="32"/>
      <c r="H60" s="32"/>
      <c r="I60" s="32"/>
      <c r="J60" s="35"/>
      <c r="K60" s="35"/>
      <c r="L60" s="37"/>
    </row>
    <row r="61" spans="1:12" x14ac:dyDescent="0.2">
      <c r="A61" s="34">
        <v>38</v>
      </c>
      <c r="B61" s="35"/>
      <c r="C61" s="36"/>
      <c r="D61" s="36"/>
      <c r="E61" s="35"/>
      <c r="F61" s="32"/>
      <c r="G61" s="32"/>
      <c r="H61" s="32"/>
      <c r="I61" s="32"/>
      <c r="J61" s="35"/>
      <c r="K61" s="35"/>
      <c r="L61" s="37"/>
    </row>
    <row r="62" spans="1:12" x14ac:dyDescent="0.2">
      <c r="A62" s="34">
        <v>39</v>
      </c>
      <c r="B62" s="35"/>
      <c r="C62" s="36"/>
      <c r="D62" s="36"/>
      <c r="E62" s="35"/>
      <c r="F62" s="32"/>
      <c r="G62" s="32"/>
      <c r="H62" s="32"/>
      <c r="I62" s="32"/>
      <c r="J62" s="35"/>
      <c r="K62" s="35"/>
      <c r="L62" s="37"/>
    </row>
    <row r="63" spans="1:12" x14ac:dyDescent="0.2">
      <c r="A63" s="34">
        <v>40</v>
      </c>
      <c r="B63" s="35"/>
      <c r="C63" s="36"/>
      <c r="D63" s="36"/>
      <c r="E63" s="35"/>
      <c r="F63" s="32"/>
      <c r="G63" s="32"/>
      <c r="H63" s="32"/>
      <c r="I63" s="32"/>
      <c r="J63" s="35"/>
      <c r="K63" s="35"/>
      <c r="L63" s="37"/>
    </row>
    <row r="64" spans="1:12" x14ac:dyDescent="0.2">
      <c r="A64" s="34">
        <v>41</v>
      </c>
      <c r="B64" s="35"/>
      <c r="C64" s="36"/>
      <c r="D64" s="36"/>
      <c r="E64" s="35"/>
      <c r="F64" s="32"/>
      <c r="G64" s="32"/>
      <c r="H64" s="32"/>
      <c r="I64" s="32"/>
      <c r="J64" s="35"/>
      <c r="K64" s="35"/>
      <c r="L64" s="37"/>
    </row>
    <row r="65" spans="1:12" x14ac:dyDescent="0.2">
      <c r="A65" s="34">
        <v>42</v>
      </c>
      <c r="B65" s="35"/>
      <c r="C65" s="36"/>
      <c r="D65" s="36"/>
      <c r="E65" s="35"/>
      <c r="F65" s="32"/>
      <c r="G65" s="32"/>
      <c r="H65" s="32"/>
      <c r="I65" s="32"/>
      <c r="J65" s="35"/>
      <c r="K65" s="35"/>
      <c r="L65" s="37"/>
    </row>
    <row r="66" spans="1:12" x14ac:dyDescent="0.2">
      <c r="A66" s="34">
        <v>43</v>
      </c>
      <c r="B66" s="35"/>
      <c r="C66" s="36"/>
      <c r="D66" s="36"/>
      <c r="E66" s="35"/>
      <c r="F66" s="32"/>
      <c r="G66" s="32"/>
      <c r="H66" s="32"/>
      <c r="I66" s="32"/>
      <c r="J66" s="35"/>
      <c r="K66" s="35"/>
      <c r="L66" s="37"/>
    </row>
    <row r="67" spans="1:12" x14ac:dyDescent="0.2">
      <c r="A67" s="34">
        <v>44</v>
      </c>
      <c r="B67" s="35"/>
      <c r="C67" s="36"/>
      <c r="D67" s="36"/>
      <c r="E67" s="35"/>
      <c r="F67" s="32"/>
      <c r="G67" s="36"/>
      <c r="H67" s="36"/>
      <c r="I67" s="36"/>
      <c r="J67" s="35"/>
      <c r="K67" s="35"/>
      <c r="L67" s="37"/>
    </row>
    <row r="68" spans="1:12" x14ac:dyDescent="0.2">
      <c r="A68" s="34">
        <v>45</v>
      </c>
      <c r="B68" s="35"/>
      <c r="C68" s="36"/>
      <c r="D68" s="36"/>
      <c r="E68" s="35"/>
      <c r="F68" s="32"/>
      <c r="G68" s="36"/>
      <c r="H68" s="36"/>
      <c r="I68" s="36"/>
      <c r="J68" s="35"/>
      <c r="K68" s="35"/>
      <c r="L68" s="37"/>
    </row>
    <row r="69" spans="1:12" x14ac:dyDescent="0.2">
      <c r="A69" s="34">
        <v>46</v>
      </c>
      <c r="B69" s="35"/>
      <c r="C69" s="36"/>
      <c r="D69" s="36"/>
      <c r="E69" s="35"/>
      <c r="F69" s="32"/>
      <c r="G69" s="36"/>
      <c r="H69" s="36"/>
      <c r="I69" s="36"/>
      <c r="J69" s="35"/>
      <c r="K69" s="35"/>
      <c r="L69" s="37"/>
    </row>
    <row r="70" spans="1:12" x14ac:dyDescent="0.2">
      <c r="A70" s="34">
        <v>47</v>
      </c>
      <c r="B70" s="35"/>
      <c r="C70" s="36"/>
      <c r="D70" s="36"/>
      <c r="E70" s="35"/>
      <c r="F70" s="36"/>
      <c r="G70" s="36"/>
      <c r="H70" s="36"/>
      <c r="I70" s="36"/>
      <c r="J70" s="35"/>
      <c r="K70" s="35"/>
      <c r="L70" s="37"/>
    </row>
    <row r="71" spans="1:12" x14ac:dyDescent="0.2">
      <c r="A71" s="34">
        <v>48</v>
      </c>
      <c r="B71" s="35"/>
      <c r="C71" s="36"/>
      <c r="D71" s="36"/>
      <c r="E71" s="35"/>
      <c r="F71" s="36"/>
      <c r="G71" s="36"/>
      <c r="H71" s="36"/>
      <c r="I71" s="36"/>
      <c r="J71" s="35"/>
      <c r="K71" s="35"/>
      <c r="L71" s="37"/>
    </row>
    <row r="72" spans="1:12" x14ac:dyDescent="0.2">
      <c r="A72" s="34">
        <v>49</v>
      </c>
      <c r="B72" s="35"/>
      <c r="C72" s="36"/>
      <c r="D72" s="36"/>
      <c r="E72" s="35"/>
      <c r="F72" s="36"/>
      <c r="G72" s="36"/>
      <c r="H72" s="36"/>
      <c r="I72" s="36"/>
      <c r="J72" s="35"/>
      <c r="K72" s="35"/>
      <c r="L72" s="37"/>
    </row>
  </sheetData>
  <mergeCells count="5">
    <mergeCell ref="J9:K10"/>
    <mergeCell ref="D10:D12"/>
    <mergeCell ref="E10:E12"/>
    <mergeCell ref="D15:D17"/>
    <mergeCell ref="E15:E17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14884-D98D-47DE-8C48-D515203D5EA6}">
  <sheetPr codeName="Hoja3"/>
  <dimension ref="A1:U99"/>
  <sheetViews>
    <sheetView topLeftCell="A18" zoomScale="85" zoomScaleNormal="85" workbookViewId="0">
      <selection activeCell="Q40" sqref="Q40"/>
    </sheetView>
  </sheetViews>
  <sheetFormatPr baseColWidth="10" defaultRowHeight="12.75" x14ac:dyDescent="0.2"/>
  <cols>
    <col min="1" max="1" width="4.5703125" style="17" bestFit="1" customWidth="1"/>
    <col min="2" max="2" width="13.28515625" style="17" bestFit="1" customWidth="1"/>
    <col min="3" max="3" width="7.5703125" style="17" bestFit="1" customWidth="1"/>
    <col min="4" max="4" width="9.85546875" style="17" bestFit="1" customWidth="1"/>
    <col min="5" max="5" width="9.5703125" style="17" bestFit="1" customWidth="1"/>
    <col min="6" max="6" width="40.28515625" style="17" customWidth="1"/>
    <col min="7" max="7" width="33.7109375" style="17" customWidth="1"/>
    <col min="8" max="8" width="32.7109375" style="17" bestFit="1" customWidth="1"/>
    <col min="9" max="9" width="29.5703125" style="17" customWidth="1"/>
    <col min="10" max="11" width="21.28515625" style="17" customWidth="1"/>
    <col min="12" max="12" width="53.7109375" style="17" bestFit="1" customWidth="1"/>
    <col min="13" max="16384" width="11.42578125" style="17"/>
  </cols>
  <sheetData>
    <row r="1" spans="1:15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5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5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5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5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5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5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5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5" ht="13.5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JUNIO</v>
      </c>
      <c r="K9" s="129"/>
      <c r="L9" s="19"/>
    </row>
    <row r="10" spans="1:15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</row>
    <row r="11" spans="1:15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21">
        <f>SUMIF(J25:J99,"=ESCUELA",E25:E99)</f>
        <v>0</v>
      </c>
      <c r="L11" s="19"/>
    </row>
    <row r="12" spans="1:15" ht="13.5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21">
        <f>SUMIF(J25:J99,"=BONO",E25:E99)</f>
        <v>35</v>
      </c>
      <c r="L12" s="19"/>
    </row>
    <row r="13" spans="1:15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21">
        <f>SUMIF(J25:J99,"=INFANTIL",E25:E99)</f>
        <v>0</v>
      </c>
      <c r="L13" s="19"/>
    </row>
    <row r="14" spans="1:15" ht="13.5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21">
        <f>SUMIF(J25:J99,"=CAPITANÍA",E25:E99)</f>
        <v>6</v>
      </c>
      <c r="L14" s="19"/>
    </row>
    <row r="15" spans="1:15" x14ac:dyDescent="0.2">
      <c r="A15" s="19"/>
      <c r="B15" s="19"/>
      <c r="C15" s="19"/>
      <c r="D15" s="138" t="s">
        <v>2</v>
      </c>
      <c r="E15" s="135" t="s">
        <v>92</v>
      </c>
      <c r="F15" s="19"/>
      <c r="G15" s="19"/>
      <c r="H15" s="19"/>
      <c r="I15" s="19"/>
      <c r="J15" s="20" t="s">
        <v>127</v>
      </c>
      <c r="K15" s="21">
        <f>SUMIF(J25:J99,"=PARTICULAR",E25:E99)</f>
        <v>21</v>
      </c>
      <c r="L15" s="19"/>
    </row>
    <row r="16" spans="1:15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21">
        <f>SUMIF(J25:J99,"=TORNEO",E25:E99)</f>
        <v>1.5</v>
      </c>
      <c r="L16" s="19"/>
      <c r="O16" s="17" t="s">
        <v>129</v>
      </c>
    </row>
    <row r="17" spans="1:21" ht="13.5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21">
        <f>SUMIF(J25:J99,"=COMPETICIÓN",E25:E99)</f>
        <v>16</v>
      </c>
      <c r="L17" s="16"/>
    </row>
    <row r="18" spans="1:21" ht="2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21">
        <f>SUMIF(J25:J99,"=CLASE-PARTIDO",E25:E99)</f>
        <v>0</v>
      </c>
      <c r="L18" s="16"/>
    </row>
    <row r="19" spans="1:21" x14ac:dyDescent="0.2">
      <c r="C19" s="16"/>
      <c r="F19" s="16"/>
      <c r="G19" s="16"/>
      <c r="H19" s="16"/>
      <c r="I19" s="16"/>
      <c r="J19" s="23"/>
      <c r="K19" s="24">
        <f>SUM(K11:K18)</f>
        <v>79.5</v>
      </c>
      <c r="L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2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2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21" ht="13.5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21" ht="21.75" thickBot="1" x14ac:dyDescent="0.25">
      <c r="A24" s="25" t="s">
        <v>155</v>
      </c>
      <c r="B24" s="26" t="s">
        <v>156</v>
      </c>
      <c r="C24" s="89" t="s">
        <v>132</v>
      </c>
      <c r="D24" s="27" t="s">
        <v>133</v>
      </c>
      <c r="E24" s="28" t="s">
        <v>157</v>
      </c>
      <c r="F24" s="26" t="s">
        <v>134</v>
      </c>
      <c r="G24" s="26" t="s">
        <v>135</v>
      </c>
      <c r="H24" s="26" t="s">
        <v>136</v>
      </c>
      <c r="I24" s="26" t="s">
        <v>137</v>
      </c>
      <c r="J24" s="26" t="s">
        <v>3</v>
      </c>
      <c r="K24" s="26" t="s">
        <v>4</v>
      </c>
      <c r="L24" s="29" t="s">
        <v>138</v>
      </c>
      <c r="M24" s="90" t="s">
        <v>246</v>
      </c>
      <c r="N24" s="90" t="s">
        <v>290</v>
      </c>
      <c r="O24" s="91" t="s">
        <v>247</v>
      </c>
      <c r="P24" s="90" t="s">
        <v>248</v>
      </c>
      <c r="Q24" s="90" t="s">
        <v>249</v>
      </c>
      <c r="R24" s="90" t="s">
        <v>250</v>
      </c>
      <c r="S24" s="90" t="s">
        <v>251</v>
      </c>
      <c r="T24" s="47" t="s">
        <v>288</v>
      </c>
      <c r="U24" s="47" t="s">
        <v>252</v>
      </c>
    </row>
    <row r="25" spans="1:21" ht="15" x14ac:dyDescent="0.25">
      <c r="A25" s="30">
        <v>1</v>
      </c>
      <c r="B25" s="31">
        <v>3</v>
      </c>
      <c r="C25" s="32" t="s">
        <v>296</v>
      </c>
      <c r="D25" s="32" t="s">
        <v>85</v>
      </c>
      <c r="E25" s="31">
        <v>1</v>
      </c>
      <c r="F25" t="s">
        <v>150</v>
      </c>
      <c r="G25" t="s">
        <v>149</v>
      </c>
      <c r="H25"/>
      <c r="I25"/>
      <c r="J25" s="72" t="s">
        <v>15</v>
      </c>
      <c r="K25" s="31" t="s">
        <v>8</v>
      </c>
      <c r="L25" s="33"/>
      <c r="M25" s="48">
        <v>45446</v>
      </c>
      <c r="N25">
        <v>2</v>
      </c>
      <c r="O25"/>
      <c r="P25">
        <v>125</v>
      </c>
      <c r="Q25">
        <v>118</v>
      </c>
      <c r="R25"/>
      <c r="S25"/>
      <c r="T25" t="s">
        <v>289</v>
      </c>
      <c r="U25">
        <v>-1</v>
      </c>
    </row>
    <row r="26" spans="1:21" ht="15" x14ac:dyDescent="0.25">
      <c r="A26" s="34">
        <v>2</v>
      </c>
      <c r="B26" s="35">
        <v>3</v>
      </c>
      <c r="C26" s="36" t="s">
        <v>85</v>
      </c>
      <c r="D26" s="36" t="s">
        <v>93</v>
      </c>
      <c r="E26" s="35">
        <v>1.5</v>
      </c>
      <c r="F26"/>
      <c r="G26"/>
      <c r="H26"/>
      <c r="I26"/>
      <c r="J26" s="76" t="s">
        <v>65</v>
      </c>
      <c r="K26" s="35" t="s">
        <v>8</v>
      </c>
      <c r="L26" s="37" t="s">
        <v>158</v>
      </c>
      <c r="M26" s="48">
        <v>45446</v>
      </c>
      <c r="N26" s="76">
        <v>0</v>
      </c>
      <c r="O26"/>
      <c r="P26"/>
      <c r="Q26"/>
      <c r="R26"/>
      <c r="S26"/>
      <c r="T26" t="s">
        <v>289</v>
      </c>
      <c r="U26">
        <v>-1</v>
      </c>
    </row>
    <row r="27" spans="1:21" ht="15" x14ac:dyDescent="0.25">
      <c r="A27" s="34">
        <v>3</v>
      </c>
      <c r="B27" s="35">
        <v>3</v>
      </c>
      <c r="C27" s="36" t="s">
        <v>93</v>
      </c>
      <c r="D27" s="36" t="s">
        <v>69</v>
      </c>
      <c r="E27" s="35">
        <v>1</v>
      </c>
      <c r="F27" t="s">
        <v>159</v>
      </c>
      <c r="G27"/>
      <c r="H27"/>
      <c r="I27"/>
      <c r="J27" s="72" t="s">
        <v>15</v>
      </c>
      <c r="K27" s="35" t="s">
        <v>8</v>
      </c>
      <c r="L27" s="37"/>
      <c r="M27" s="48">
        <v>45446</v>
      </c>
      <c r="N27">
        <v>1</v>
      </c>
      <c r="O27"/>
      <c r="P27">
        <v>34</v>
      </c>
      <c r="Q27"/>
      <c r="R27"/>
      <c r="S27"/>
      <c r="T27" t="s">
        <v>289</v>
      </c>
      <c r="U27">
        <v>-1</v>
      </c>
    </row>
    <row r="28" spans="1:21" ht="15" x14ac:dyDescent="0.25">
      <c r="A28" s="123">
        <v>4</v>
      </c>
      <c r="B28" s="124">
        <v>3</v>
      </c>
      <c r="C28" s="125" t="s">
        <v>19</v>
      </c>
      <c r="D28" s="125" t="s">
        <v>70</v>
      </c>
      <c r="E28" s="124">
        <v>1.5</v>
      </c>
      <c r="F28" s="76" t="s">
        <v>295</v>
      </c>
      <c r="G28"/>
      <c r="H28"/>
      <c r="I28"/>
      <c r="J28" s="76" t="s">
        <v>277</v>
      </c>
      <c r="K28" s="124" t="s">
        <v>8</v>
      </c>
      <c r="L28" s="126" t="s">
        <v>158</v>
      </c>
      <c r="M28"/>
      <c r="N28">
        <v>1</v>
      </c>
      <c r="O28"/>
      <c r="P28"/>
      <c r="Q28"/>
      <c r="R28"/>
      <c r="S28"/>
      <c r="T28" t="s">
        <v>289</v>
      </c>
      <c r="U28">
        <v>-1</v>
      </c>
    </row>
    <row r="29" spans="1:21" ht="42" x14ac:dyDescent="0.25">
      <c r="A29" s="119" t="s">
        <v>294</v>
      </c>
      <c r="B29" s="120">
        <v>3</v>
      </c>
      <c r="C29" s="121" t="s">
        <v>19</v>
      </c>
      <c r="D29" s="121" t="s">
        <v>70</v>
      </c>
      <c r="E29" s="120">
        <v>1.5</v>
      </c>
      <c r="F29" t="s">
        <v>187</v>
      </c>
      <c r="G29"/>
      <c r="H29"/>
      <c r="I29"/>
      <c r="J29" t="s">
        <v>275</v>
      </c>
      <c r="K29" s="120" t="s">
        <v>8</v>
      </c>
      <c r="L29" s="122" t="s">
        <v>158</v>
      </c>
      <c r="M29" s="48">
        <v>45446</v>
      </c>
      <c r="N29">
        <v>1</v>
      </c>
      <c r="O29" t="s">
        <v>293</v>
      </c>
      <c r="P29">
        <v>52</v>
      </c>
      <c r="Q29"/>
      <c r="R29"/>
      <c r="S29"/>
      <c r="T29" t="s">
        <v>289</v>
      </c>
      <c r="U29">
        <v>1</v>
      </c>
    </row>
    <row r="30" spans="1:21" ht="42" x14ac:dyDescent="0.25">
      <c r="A30" s="119" t="s">
        <v>294</v>
      </c>
      <c r="B30" s="120">
        <v>3</v>
      </c>
      <c r="C30" s="121" t="s">
        <v>19</v>
      </c>
      <c r="D30" s="121" t="s">
        <v>70</v>
      </c>
      <c r="E30" s="120">
        <v>1.5</v>
      </c>
      <c r="F30" t="s">
        <v>180</v>
      </c>
      <c r="G30"/>
      <c r="H30"/>
      <c r="I30"/>
      <c r="J30" t="s">
        <v>275</v>
      </c>
      <c r="K30" s="120" t="s">
        <v>8</v>
      </c>
      <c r="L30" s="122" t="s">
        <v>158</v>
      </c>
      <c r="M30" s="48">
        <v>45446</v>
      </c>
      <c r="N30">
        <v>1</v>
      </c>
      <c r="O30" t="s">
        <v>293</v>
      </c>
      <c r="P30">
        <v>53</v>
      </c>
      <c r="Q30"/>
      <c r="R30"/>
      <c r="S30"/>
      <c r="T30" t="s">
        <v>289</v>
      </c>
      <c r="U30">
        <v>1</v>
      </c>
    </row>
    <row r="31" spans="1:21" ht="42" x14ac:dyDescent="0.25">
      <c r="A31" s="119" t="s">
        <v>294</v>
      </c>
      <c r="B31" s="120">
        <v>3</v>
      </c>
      <c r="C31" s="121" t="s">
        <v>19</v>
      </c>
      <c r="D31" s="121" t="s">
        <v>70</v>
      </c>
      <c r="E31" s="120">
        <v>1.5</v>
      </c>
      <c r="F31" t="s">
        <v>267</v>
      </c>
      <c r="G31"/>
      <c r="H31"/>
      <c r="I31"/>
      <c r="J31" t="s">
        <v>275</v>
      </c>
      <c r="K31" s="120" t="s">
        <v>8</v>
      </c>
      <c r="L31" s="122" t="s">
        <v>158</v>
      </c>
      <c r="M31" s="48">
        <v>45446</v>
      </c>
      <c r="N31">
        <v>1</v>
      </c>
      <c r="O31" t="s">
        <v>293</v>
      </c>
      <c r="P31">
        <v>54</v>
      </c>
      <c r="Q31"/>
      <c r="R31"/>
      <c r="S31"/>
      <c r="T31" t="s">
        <v>289</v>
      </c>
      <c r="U31">
        <v>1</v>
      </c>
    </row>
    <row r="32" spans="1:21" ht="42" x14ac:dyDescent="0.25">
      <c r="A32" s="119" t="s">
        <v>294</v>
      </c>
      <c r="B32" s="120">
        <v>3</v>
      </c>
      <c r="C32" s="121" t="s">
        <v>19</v>
      </c>
      <c r="D32" s="121" t="s">
        <v>70</v>
      </c>
      <c r="E32" s="120">
        <v>1.5</v>
      </c>
      <c r="F32" t="s">
        <v>199</v>
      </c>
      <c r="G32"/>
      <c r="H32"/>
      <c r="I32"/>
      <c r="J32" t="s">
        <v>275</v>
      </c>
      <c r="K32" s="120" t="s">
        <v>8</v>
      </c>
      <c r="L32" s="122" t="s">
        <v>158</v>
      </c>
      <c r="M32" s="48">
        <v>45446</v>
      </c>
      <c r="N32">
        <v>1</v>
      </c>
      <c r="O32" t="s">
        <v>293</v>
      </c>
      <c r="P32">
        <v>55</v>
      </c>
      <c r="Q32"/>
      <c r="R32"/>
      <c r="S32"/>
      <c r="T32" t="s">
        <v>289</v>
      </c>
      <c r="U32">
        <v>1</v>
      </c>
    </row>
    <row r="33" spans="1:21" ht="42" x14ac:dyDescent="0.25">
      <c r="A33" s="119" t="s">
        <v>294</v>
      </c>
      <c r="B33" s="120">
        <v>3</v>
      </c>
      <c r="C33" s="121" t="s">
        <v>19</v>
      </c>
      <c r="D33" s="121" t="s">
        <v>70</v>
      </c>
      <c r="E33" s="120">
        <v>1.5</v>
      </c>
      <c r="F33" t="s">
        <v>268</v>
      </c>
      <c r="G33"/>
      <c r="H33"/>
      <c r="I33"/>
      <c r="J33" t="s">
        <v>275</v>
      </c>
      <c r="K33" s="120" t="s">
        <v>8</v>
      </c>
      <c r="L33" s="122" t="s">
        <v>158</v>
      </c>
      <c r="M33" s="48">
        <v>45446</v>
      </c>
      <c r="N33">
        <v>1</v>
      </c>
      <c r="O33" t="s">
        <v>293</v>
      </c>
      <c r="P33">
        <v>56</v>
      </c>
      <c r="Q33"/>
      <c r="R33"/>
      <c r="S33"/>
      <c r="T33" t="s">
        <v>289</v>
      </c>
      <c r="U33">
        <v>1</v>
      </c>
    </row>
    <row r="34" spans="1:21" ht="42" x14ac:dyDescent="0.25">
      <c r="A34" s="119" t="s">
        <v>294</v>
      </c>
      <c r="B34" s="120">
        <v>3</v>
      </c>
      <c r="C34" s="121" t="s">
        <v>19</v>
      </c>
      <c r="D34" s="121" t="s">
        <v>70</v>
      </c>
      <c r="E34" s="120">
        <v>1.5</v>
      </c>
      <c r="F34" t="s">
        <v>269</v>
      </c>
      <c r="G34"/>
      <c r="H34"/>
      <c r="I34"/>
      <c r="J34" t="s">
        <v>275</v>
      </c>
      <c r="K34" s="120" t="s">
        <v>8</v>
      </c>
      <c r="L34" s="122" t="s">
        <v>158</v>
      </c>
      <c r="M34" s="48">
        <v>45446</v>
      </c>
      <c r="N34">
        <v>1</v>
      </c>
      <c r="O34" t="s">
        <v>293</v>
      </c>
      <c r="P34">
        <v>93</v>
      </c>
      <c r="Q34"/>
      <c r="R34"/>
      <c r="S34"/>
      <c r="T34" t="s">
        <v>289</v>
      </c>
      <c r="U34">
        <v>1</v>
      </c>
    </row>
    <row r="35" spans="1:21" ht="15" x14ac:dyDescent="0.25">
      <c r="A35" s="34">
        <v>5</v>
      </c>
      <c r="B35" s="35">
        <v>3</v>
      </c>
      <c r="C35" s="36" t="s">
        <v>10</v>
      </c>
      <c r="D35" s="36" t="s">
        <v>20</v>
      </c>
      <c r="E35" s="35">
        <v>1</v>
      </c>
      <c r="F35" t="s">
        <v>147</v>
      </c>
      <c r="G35"/>
      <c r="H35"/>
      <c r="I35"/>
      <c r="J35" s="72" t="s">
        <v>15</v>
      </c>
      <c r="K35" s="35" t="s">
        <v>8</v>
      </c>
      <c r="L35" s="37"/>
      <c r="M35" s="48">
        <v>45446</v>
      </c>
      <c r="N35">
        <v>1</v>
      </c>
      <c r="O35"/>
      <c r="P35">
        <v>21</v>
      </c>
      <c r="Q35"/>
      <c r="R35"/>
      <c r="S35"/>
      <c r="T35" t="s">
        <v>289</v>
      </c>
      <c r="U35">
        <v>-1</v>
      </c>
    </row>
    <row r="36" spans="1:21" ht="15" x14ac:dyDescent="0.25">
      <c r="A36" s="34">
        <v>6</v>
      </c>
      <c r="B36" s="35">
        <v>4</v>
      </c>
      <c r="C36" s="36" t="s">
        <v>89</v>
      </c>
      <c r="D36" s="36" t="s">
        <v>93</v>
      </c>
      <c r="E36" s="35">
        <v>1</v>
      </c>
      <c r="F36" t="s">
        <v>160</v>
      </c>
      <c r="G36" t="s">
        <v>161</v>
      </c>
      <c r="H36" t="s">
        <v>162</v>
      </c>
      <c r="I36"/>
      <c r="J36" s="72" t="s">
        <v>15</v>
      </c>
      <c r="K36" s="35" t="s">
        <v>8</v>
      </c>
      <c r="L36" s="37"/>
      <c r="M36" s="48">
        <v>45447</v>
      </c>
      <c r="N36">
        <v>3</v>
      </c>
      <c r="O36"/>
      <c r="P36">
        <v>47</v>
      </c>
      <c r="Q36">
        <v>201</v>
      </c>
      <c r="R36">
        <v>195</v>
      </c>
      <c r="S36"/>
      <c r="T36" t="s">
        <v>289</v>
      </c>
      <c r="U36">
        <v>-1</v>
      </c>
    </row>
    <row r="37" spans="1:21" ht="15" x14ac:dyDescent="0.25">
      <c r="A37" s="34">
        <v>7</v>
      </c>
      <c r="B37" s="35">
        <v>4</v>
      </c>
      <c r="C37" s="36" t="s">
        <v>19</v>
      </c>
      <c r="D37" s="36" t="s">
        <v>20</v>
      </c>
      <c r="E37" s="35">
        <v>3</v>
      </c>
      <c r="F37"/>
      <c r="G37"/>
      <c r="H37"/>
      <c r="I37"/>
      <c r="J37" t="s">
        <v>18</v>
      </c>
      <c r="K37" s="35" t="s">
        <v>8</v>
      </c>
      <c r="L37" s="37" t="s">
        <v>158</v>
      </c>
      <c r="M37" s="48">
        <v>45447</v>
      </c>
      <c r="N37">
        <v>0</v>
      </c>
      <c r="O37" t="s">
        <v>256</v>
      </c>
      <c r="P37"/>
      <c r="Q37"/>
      <c r="R37"/>
      <c r="S37"/>
      <c r="T37" t="s">
        <v>289</v>
      </c>
      <c r="U37"/>
    </row>
    <row r="38" spans="1:21" ht="15" x14ac:dyDescent="0.25">
      <c r="A38" s="34">
        <v>8</v>
      </c>
      <c r="B38" s="35">
        <v>6</v>
      </c>
      <c r="C38" s="36" t="s">
        <v>296</v>
      </c>
      <c r="D38" s="36" t="s">
        <v>85</v>
      </c>
      <c r="E38" s="35">
        <v>1</v>
      </c>
      <c r="F38" t="s">
        <v>145</v>
      </c>
      <c r="G38"/>
      <c r="H38"/>
      <c r="I38"/>
      <c r="J38" s="72" t="s">
        <v>15</v>
      </c>
      <c r="K38" s="35" t="s">
        <v>8</v>
      </c>
      <c r="L38" s="37"/>
      <c r="M38" s="48">
        <v>45449</v>
      </c>
      <c r="N38">
        <v>1</v>
      </c>
      <c r="O38"/>
      <c r="P38">
        <v>163</v>
      </c>
      <c r="Q38"/>
      <c r="R38"/>
      <c r="S38"/>
      <c r="T38" t="s">
        <v>289</v>
      </c>
      <c r="U38">
        <v>-1</v>
      </c>
    </row>
    <row r="39" spans="1:21" ht="15" x14ac:dyDescent="0.25">
      <c r="A39" s="34">
        <v>9</v>
      </c>
      <c r="B39" s="35">
        <v>6</v>
      </c>
      <c r="C39" s="36" t="s">
        <v>85</v>
      </c>
      <c r="D39" s="36" t="s">
        <v>72</v>
      </c>
      <c r="E39" s="35">
        <v>1</v>
      </c>
      <c r="F39" t="s">
        <v>163</v>
      </c>
      <c r="G39"/>
      <c r="H39"/>
      <c r="I39"/>
      <c r="J39" s="72" t="s">
        <v>15</v>
      </c>
      <c r="K39" s="35" t="s">
        <v>8</v>
      </c>
      <c r="L39" s="37"/>
      <c r="M39" s="48">
        <v>45449</v>
      </c>
      <c r="N39">
        <v>1</v>
      </c>
      <c r="O39"/>
      <c r="P39">
        <v>38</v>
      </c>
      <c r="Q39"/>
      <c r="R39"/>
      <c r="S39"/>
      <c r="T39" t="s">
        <v>289</v>
      </c>
      <c r="U39">
        <v>-1</v>
      </c>
    </row>
    <row r="40" spans="1:21" ht="15" x14ac:dyDescent="0.25">
      <c r="A40" s="123">
        <v>10</v>
      </c>
      <c r="B40" s="124">
        <v>6</v>
      </c>
      <c r="C40" s="125" t="s">
        <v>72</v>
      </c>
      <c r="D40" s="125" t="s">
        <v>69</v>
      </c>
      <c r="E40" s="124">
        <v>1.5</v>
      </c>
      <c r="F40" s="76" t="s">
        <v>279</v>
      </c>
      <c r="G40"/>
      <c r="H40"/>
      <c r="I40"/>
      <c r="J40" s="76" t="s">
        <v>277</v>
      </c>
      <c r="K40" s="124" t="s">
        <v>8</v>
      </c>
      <c r="L40" s="126" t="s">
        <v>164</v>
      </c>
      <c r="M40"/>
      <c r="N40">
        <v>1</v>
      </c>
      <c r="O40"/>
      <c r="P40"/>
      <c r="Q40"/>
      <c r="R40"/>
      <c r="S40"/>
      <c r="T40" t="s">
        <v>289</v>
      </c>
      <c r="U40">
        <v>-1</v>
      </c>
    </row>
    <row r="41" spans="1:21" ht="42" x14ac:dyDescent="0.25">
      <c r="A41" s="119" t="s">
        <v>278</v>
      </c>
      <c r="B41" s="120">
        <v>6</v>
      </c>
      <c r="C41" s="121" t="s">
        <v>72</v>
      </c>
      <c r="D41" s="121" t="s">
        <v>69</v>
      </c>
      <c r="E41" s="120">
        <v>1.5</v>
      </c>
      <c r="F41" t="s">
        <v>263</v>
      </c>
      <c r="G41"/>
      <c r="H41"/>
      <c r="I41"/>
      <c r="J41" t="s">
        <v>275</v>
      </c>
      <c r="K41" s="120" t="s">
        <v>8</v>
      </c>
      <c r="L41" s="122" t="s">
        <v>164</v>
      </c>
      <c r="M41" s="48">
        <v>45449</v>
      </c>
      <c r="N41">
        <v>1</v>
      </c>
      <c r="O41" t="s">
        <v>293</v>
      </c>
      <c r="P41">
        <v>94</v>
      </c>
      <c r="Q41"/>
      <c r="R41"/>
      <c r="S41"/>
      <c r="T41" t="s">
        <v>289</v>
      </c>
      <c r="U41">
        <v>1</v>
      </c>
    </row>
    <row r="42" spans="1:21" ht="42" x14ac:dyDescent="0.25">
      <c r="A42" s="119" t="s">
        <v>278</v>
      </c>
      <c r="B42" s="120">
        <v>6</v>
      </c>
      <c r="C42" s="121" t="s">
        <v>72</v>
      </c>
      <c r="D42" s="121" t="s">
        <v>69</v>
      </c>
      <c r="E42" s="120">
        <v>1.5</v>
      </c>
      <c r="F42" t="s">
        <v>264</v>
      </c>
      <c r="G42"/>
      <c r="H42"/>
      <c r="I42"/>
      <c r="J42" t="s">
        <v>275</v>
      </c>
      <c r="K42" s="120" t="s">
        <v>8</v>
      </c>
      <c r="L42" s="122" t="s">
        <v>164</v>
      </c>
      <c r="M42" s="48">
        <v>45449</v>
      </c>
      <c r="N42">
        <v>1</v>
      </c>
      <c r="O42" t="s">
        <v>293</v>
      </c>
      <c r="P42">
        <v>95</v>
      </c>
      <c r="Q42"/>
      <c r="R42"/>
      <c r="S42"/>
      <c r="T42" t="s">
        <v>289</v>
      </c>
      <c r="U42">
        <v>1</v>
      </c>
    </row>
    <row r="43" spans="1:21" ht="42" x14ac:dyDescent="0.25">
      <c r="A43" s="119" t="s">
        <v>278</v>
      </c>
      <c r="B43" s="120">
        <v>6</v>
      </c>
      <c r="C43" s="121" t="s">
        <v>72</v>
      </c>
      <c r="D43" s="121" t="s">
        <v>69</v>
      </c>
      <c r="E43" s="120">
        <v>1.5</v>
      </c>
      <c r="F43" t="s">
        <v>265</v>
      </c>
      <c r="G43"/>
      <c r="H43"/>
      <c r="I43"/>
      <c r="J43" t="s">
        <v>275</v>
      </c>
      <c r="K43" s="120" t="s">
        <v>8</v>
      </c>
      <c r="L43" s="122" t="s">
        <v>164</v>
      </c>
      <c r="M43" s="48">
        <v>45449</v>
      </c>
      <c r="N43">
        <v>1</v>
      </c>
      <c r="O43" t="s">
        <v>293</v>
      </c>
      <c r="P43">
        <v>96</v>
      </c>
      <c r="Q43"/>
      <c r="R43"/>
      <c r="S43"/>
      <c r="T43" t="s">
        <v>289</v>
      </c>
      <c r="U43">
        <v>1</v>
      </c>
    </row>
    <row r="44" spans="1:21" ht="15" x14ac:dyDescent="0.25">
      <c r="A44" s="34">
        <v>11</v>
      </c>
      <c r="B44" s="35">
        <v>6</v>
      </c>
      <c r="C44" s="36" t="s">
        <v>25</v>
      </c>
      <c r="D44" s="36" t="s">
        <v>19</v>
      </c>
      <c r="E44" s="35">
        <v>1</v>
      </c>
      <c r="F44" t="s">
        <v>165</v>
      </c>
      <c r="G44"/>
      <c r="H44"/>
      <c r="I44"/>
      <c r="J44" t="s">
        <v>21</v>
      </c>
      <c r="K44" s="35" t="s">
        <v>8</v>
      </c>
      <c r="L44" s="37"/>
      <c r="M44" s="48">
        <v>45449</v>
      </c>
      <c r="N44">
        <v>1</v>
      </c>
      <c r="O44" t="s">
        <v>253</v>
      </c>
      <c r="P44">
        <v>119</v>
      </c>
      <c r="Q44"/>
      <c r="R44"/>
      <c r="S44"/>
      <c r="T44" t="s">
        <v>289</v>
      </c>
      <c r="U44">
        <v>1</v>
      </c>
    </row>
    <row r="45" spans="1:21" ht="15" x14ac:dyDescent="0.25">
      <c r="A45" s="34">
        <v>12</v>
      </c>
      <c r="B45" s="35">
        <v>6</v>
      </c>
      <c r="C45" s="36" t="s">
        <v>26</v>
      </c>
      <c r="D45" s="36" t="s">
        <v>70</v>
      </c>
      <c r="E45" s="35">
        <v>1</v>
      </c>
      <c r="F45" t="s">
        <v>166</v>
      </c>
      <c r="G45" t="s">
        <v>167</v>
      </c>
      <c r="H45"/>
      <c r="I45"/>
      <c r="J45" s="72" t="s">
        <v>15</v>
      </c>
      <c r="K45" s="35" t="s">
        <v>8</v>
      </c>
      <c r="L45" s="37"/>
      <c r="M45" s="48">
        <v>45449</v>
      </c>
      <c r="N45">
        <v>2</v>
      </c>
      <c r="O45"/>
      <c r="P45">
        <v>185</v>
      </c>
      <c r="Q45">
        <v>58</v>
      </c>
      <c r="R45"/>
      <c r="S45"/>
      <c r="T45" t="s">
        <v>289</v>
      </c>
      <c r="U45">
        <v>-1</v>
      </c>
    </row>
    <row r="46" spans="1:21" ht="11.65" customHeight="1" x14ac:dyDescent="0.25">
      <c r="A46" s="34">
        <v>13</v>
      </c>
      <c r="B46" s="35">
        <v>6</v>
      </c>
      <c r="C46" s="36" t="s">
        <v>10</v>
      </c>
      <c r="D46" s="36" t="s">
        <v>20</v>
      </c>
      <c r="E46" s="35">
        <v>1</v>
      </c>
      <c r="F46" t="s">
        <v>168</v>
      </c>
      <c r="G46" t="s">
        <v>169</v>
      </c>
      <c r="H46"/>
      <c r="I46"/>
      <c r="J46" s="76" t="s">
        <v>21</v>
      </c>
      <c r="K46" s="35" t="s">
        <v>8</v>
      </c>
      <c r="L46" s="37"/>
      <c r="M46" s="48">
        <v>45449</v>
      </c>
      <c r="N46">
        <v>2</v>
      </c>
      <c r="O46"/>
      <c r="P46">
        <v>83</v>
      </c>
      <c r="Q46">
        <v>70</v>
      </c>
      <c r="R46"/>
      <c r="S46"/>
      <c r="T46" t="s">
        <v>289</v>
      </c>
      <c r="U46">
        <v>-1</v>
      </c>
    </row>
    <row r="47" spans="1:21" ht="13.15" customHeight="1" x14ac:dyDescent="0.25">
      <c r="A47" s="34">
        <v>14</v>
      </c>
      <c r="B47" s="35">
        <v>10</v>
      </c>
      <c r="C47" s="36" t="s">
        <v>296</v>
      </c>
      <c r="D47" s="36" t="s">
        <v>85</v>
      </c>
      <c r="E47" s="35">
        <v>1</v>
      </c>
      <c r="F47" t="s">
        <v>150</v>
      </c>
      <c r="G47" t="s">
        <v>149</v>
      </c>
      <c r="H47"/>
      <c r="I47"/>
      <c r="J47" s="72" t="s">
        <v>15</v>
      </c>
      <c r="K47" s="35" t="s">
        <v>8</v>
      </c>
      <c r="L47" s="37"/>
      <c r="M47" s="48">
        <v>45453</v>
      </c>
      <c r="N47">
        <v>2</v>
      </c>
      <c r="O47"/>
      <c r="P47">
        <v>125</v>
      </c>
      <c r="Q47">
        <v>118</v>
      </c>
      <c r="R47"/>
      <c r="S47"/>
      <c r="T47" t="s">
        <v>289</v>
      </c>
      <c r="U47">
        <v>-1</v>
      </c>
    </row>
    <row r="48" spans="1:21" ht="15" x14ac:dyDescent="0.25">
      <c r="A48" s="123">
        <v>15</v>
      </c>
      <c r="B48" s="124">
        <v>10</v>
      </c>
      <c r="C48" s="125" t="s">
        <v>85</v>
      </c>
      <c r="D48" s="125" t="s">
        <v>93</v>
      </c>
      <c r="E48" s="124">
        <v>1.5</v>
      </c>
      <c r="F48" s="76" t="s">
        <v>279</v>
      </c>
      <c r="G48"/>
      <c r="H48"/>
      <c r="I48"/>
      <c r="J48" s="76" t="s">
        <v>277</v>
      </c>
      <c r="K48" s="124" t="s">
        <v>8</v>
      </c>
      <c r="L48" s="126" t="s">
        <v>158</v>
      </c>
      <c r="M48"/>
      <c r="N48">
        <v>1</v>
      </c>
      <c r="O48"/>
      <c r="P48"/>
      <c r="Q48"/>
      <c r="R48"/>
      <c r="S48"/>
      <c r="T48" t="s">
        <v>289</v>
      </c>
      <c r="U48">
        <v>-1</v>
      </c>
    </row>
    <row r="49" spans="1:21" ht="42" x14ac:dyDescent="0.25">
      <c r="A49" s="119" t="s">
        <v>278</v>
      </c>
      <c r="B49" s="120">
        <v>10</v>
      </c>
      <c r="C49" s="121" t="s">
        <v>85</v>
      </c>
      <c r="D49" s="121" t="s">
        <v>93</v>
      </c>
      <c r="E49" s="120">
        <v>1.5</v>
      </c>
      <c r="F49" t="s">
        <v>263</v>
      </c>
      <c r="G49"/>
      <c r="H49"/>
      <c r="I49"/>
      <c r="J49" t="s">
        <v>275</v>
      </c>
      <c r="K49" s="120" t="s">
        <v>8</v>
      </c>
      <c r="L49" s="122" t="s">
        <v>158</v>
      </c>
      <c r="M49" s="48">
        <v>45453</v>
      </c>
      <c r="N49">
        <v>1</v>
      </c>
      <c r="O49" t="s">
        <v>293</v>
      </c>
      <c r="P49">
        <v>94</v>
      </c>
      <c r="Q49"/>
      <c r="R49"/>
      <c r="S49"/>
      <c r="T49" t="s">
        <v>289</v>
      </c>
      <c r="U49">
        <v>-2</v>
      </c>
    </row>
    <row r="50" spans="1:21" ht="42" x14ac:dyDescent="0.25">
      <c r="A50" s="119" t="s">
        <v>278</v>
      </c>
      <c r="B50" s="120">
        <v>10</v>
      </c>
      <c r="C50" s="121" t="s">
        <v>85</v>
      </c>
      <c r="D50" s="121" t="s">
        <v>93</v>
      </c>
      <c r="E50" s="120">
        <v>1.5</v>
      </c>
      <c r="F50" t="s">
        <v>264</v>
      </c>
      <c r="G50"/>
      <c r="H50"/>
      <c r="I50"/>
      <c r="J50" t="s">
        <v>275</v>
      </c>
      <c r="K50" s="120" t="s">
        <v>8</v>
      </c>
      <c r="L50" s="122" t="s">
        <v>158</v>
      </c>
      <c r="M50" s="48">
        <v>45453</v>
      </c>
      <c r="N50">
        <v>1</v>
      </c>
      <c r="O50" t="s">
        <v>293</v>
      </c>
      <c r="P50">
        <v>95</v>
      </c>
      <c r="Q50"/>
      <c r="R50"/>
      <c r="S50"/>
      <c r="T50" t="s">
        <v>289</v>
      </c>
      <c r="U50">
        <v>-2</v>
      </c>
    </row>
    <row r="51" spans="1:21" ht="42" x14ac:dyDescent="0.25">
      <c r="A51" s="119" t="s">
        <v>278</v>
      </c>
      <c r="B51" s="120">
        <v>10</v>
      </c>
      <c r="C51" s="121" t="s">
        <v>85</v>
      </c>
      <c r="D51" s="121" t="s">
        <v>93</v>
      </c>
      <c r="E51" s="120">
        <v>1.5</v>
      </c>
      <c r="F51" t="s">
        <v>265</v>
      </c>
      <c r="G51"/>
      <c r="H51"/>
      <c r="I51"/>
      <c r="J51" t="s">
        <v>275</v>
      </c>
      <c r="K51" s="120" t="s">
        <v>8</v>
      </c>
      <c r="L51" s="122" t="s">
        <v>158</v>
      </c>
      <c r="M51" s="48">
        <v>45453</v>
      </c>
      <c r="N51">
        <v>1</v>
      </c>
      <c r="O51" t="s">
        <v>293</v>
      </c>
      <c r="P51">
        <v>96</v>
      </c>
      <c r="Q51"/>
      <c r="R51"/>
      <c r="S51"/>
      <c r="T51" t="s">
        <v>289</v>
      </c>
      <c r="U51">
        <v>-2</v>
      </c>
    </row>
    <row r="52" spans="1:21" ht="15" x14ac:dyDescent="0.25">
      <c r="A52" s="34">
        <v>16</v>
      </c>
      <c r="B52" s="35">
        <v>10</v>
      </c>
      <c r="C52" s="36" t="s">
        <v>93</v>
      </c>
      <c r="D52" s="36" t="s">
        <v>69</v>
      </c>
      <c r="E52" s="35">
        <v>1</v>
      </c>
      <c r="F52" t="s">
        <v>159</v>
      </c>
      <c r="G52"/>
      <c r="H52"/>
      <c r="I52"/>
      <c r="J52" s="72" t="s">
        <v>15</v>
      </c>
      <c r="K52" s="35" t="s">
        <v>8</v>
      </c>
      <c r="L52" s="37"/>
      <c r="M52" s="48">
        <v>45453</v>
      </c>
      <c r="N52">
        <v>1</v>
      </c>
      <c r="O52"/>
      <c r="P52">
        <v>34</v>
      </c>
      <c r="Q52"/>
      <c r="R52"/>
      <c r="S52"/>
      <c r="T52" t="s">
        <v>289</v>
      </c>
      <c r="U52">
        <v>-1</v>
      </c>
    </row>
    <row r="53" spans="1:21" ht="15" x14ac:dyDescent="0.25">
      <c r="A53" s="34">
        <v>17</v>
      </c>
      <c r="B53" s="35">
        <v>10</v>
      </c>
      <c r="C53" s="36" t="s">
        <v>19</v>
      </c>
      <c r="D53" s="36" t="s">
        <v>70</v>
      </c>
      <c r="E53" s="35">
        <v>1.5</v>
      </c>
      <c r="F53"/>
      <c r="G53"/>
      <c r="H53"/>
      <c r="I53"/>
      <c r="J53" s="76" t="s">
        <v>65</v>
      </c>
      <c r="K53" s="35" t="s">
        <v>8</v>
      </c>
      <c r="L53" s="37" t="s">
        <v>158</v>
      </c>
      <c r="M53" s="48">
        <v>45453</v>
      </c>
      <c r="N53" s="76">
        <v>0</v>
      </c>
      <c r="O53"/>
      <c r="P53"/>
      <c r="Q53"/>
      <c r="R53"/>
      <c r="S53"/>
      <c r="T53" t="s">
        <v>289</v>
      </c>
      <c r="U53">
        <v>-1</v>
      </c>
    </row>
    <row r="54" spans="1:21" ht="15" x14ac:dyDescent="0.25">
      <c r="A54" s="34">
        <v>18</v>
      </c>
      <c r="B54" s="35">
        <v>10</v>
      </c>
      <c r="C54" s="36" t="s">
        <v>10</v>
      </c>
      <c r="D54" s="36" t="s">
        <v>20</v>
      </c>
      <c r="E54" s="35">
        <v>1</v>
      </c>
      <c r="F54" t="s">
        <v>147</v>
      </c>
      <c r="G54"/>
      <c r="H54"/>
      <c r="I54"/>
      <c r="J54" s="72" t="s">
        <v>15</v>
      </c>
      <c r="K54" s="35" t="s">
        <v>8</v>
      </c>
      <c r="L54" s="37"/>
      <c r="M54" s="48">
        <v>45453</v>
      </c>
      <c r="N54">
        <v>1</v>
      </c>
      <c r="O54"/>
      <c r="P54">
        <v>21</v>
      </c>
      <c r="Q54"/>
      <c r="R54"/>
      <c r="S54"/>
      <c r="T54" t="s">
        <v>289</v>
      </c>
      <c r="U54">
        <v>-1</v>
      </c>
    </row>
    <row r="55" spans="1:21" ht="15" x14ac:dyDescent="0.25">
      <c r="A55" s="34">
        <v>19</v>
      </c>
      <c r="B55" s="35">
        <v>11</v>
      </c>
      <c r="C55" s="36" t="s">
        <v>89</v>
      </c>
      <c r="D55" s="36" t="s">
        <v>93</v>
      </c>
      <c r="E55" s="35">
        <v>1</v>
      </c>
      <c r="F55" t="s">
        <v>160</v>
      </c>
      <c r="G55" t="s">
        <v>161</v>
      </c>
      <c r="H55" t="s">
        <v>162</v>
      </c>
      <c r="I55"/>
      <c r="J55" s="72" t="s">
        <v>15</v>
      </c>
      <c r="K55" s="35" t="s">
        <v>8</v>
      </c>
      <c r="L55" s="38"/>
      <c r="M55" s="48">
        <v>45454</v>
      </c>
      <c r="N55">
        <v>3</v>
      </c>
      <c r="O55"/>
      <c r="P55">
        <v>47</v>
      </c>
      <c r="Q55">
        <v>201</v>
      </c>
      <c r="R55">
        <v>195</v>
      </c>
      <c r="S55"/>
      <c r="T55" t="s">
        <v>289</v>
      </c>
      <c r="U55">
        <v>-1</v>
      </c>
    </row>
    <row r="56" spans="1:21" ht="15" x14ac:dyDescent="0.25">
      <c r="A56" s="34">
        <v>20</v>
      </c>
      <c r="B56" s="35">
        <v>11</v>
      </c>
      <c r="C56" s="36" t="s">
        <v>24</v>
      </c>
      <c r="D56" s="36" t="s">
        <v>25</v>
      </c>
      <c r="E56" s="35">
        <v>1</v>
      </c>
      <c r="F56" t="s">
        <v>144</v>
      </c>
      <c r="G56"/>
      <c r="H56"/>
      <c r="I56"/>
      <c r="J56" s="72" t="s">
        <v>15</v>
      </c>
      <c r="K56" s="35" t="s">
        <v>8</v>
      </c>
      <c r="L56" s="37"/>
      <c r="M56" s="48">
        <v>45454</v>
      </c>
      <c r="N56">
        <v>1</v>
      </c>
      <c r="O56"/>
      <c r="P56">
        <v>81</v>
      </c>
      <c r="Q56"/>
      <c r="R56"/>
      <c r="S56"/>
      <c r="T56" t="s">
        <v>289</v>
      </c>
      <c r="U56">
        <v>-1</v>
      </c>
    </row>
    <row r="57" spans="1:21" ht="15" x14ac:dyDescent="0.25">
      <c r="A57" s="34">
        <v>21</v>
      </c>
      <c r="B57" s="35">
        <v>12</v>
      </c>
      <c r="C57" s="36" t="s">
        <v>85</v>
      </c>
      <c r="D57" s="36" t="s">
        <v>72</v>
      </c>
      <c r="E57" s="35">
        <v>1</v>
      </c>
      <c r="F57" t="s">
        <v>170</v>
      </c>
      <c r="G57" t="s">
        <v>171</v>
      </c>
      <c r="H57"/>
      <c r="I57"/>
      <c r="J57" s="76" t="s">
        <v>21</v>
      </c>
      <c r="K57" s="35" t="s">
        <v>8</v>
      </c>
      <c r="L57" s="37"/>
      <c r="M57" s="48">
        <v>45455</v>
      </c>
      <c r="N57">
        <v>2</v>
      </c>
      <c r="O57"/>
      <c r="P57">
        <v>209</v>
      </c>
      <c r="Q57">
        <v>167</v>
      </c>
      <c r="R57"/>
      <c r="S57"/>
      <c r="T57" t="s">
        <v>289</v>
      </c>
      <c r="U57">
        <v>-1</v>
      </c>
    </row>
    <row r="58" spans="1:21" ht="15" x14ac:dyDescent="0.25">
      <c r="A58" s="34">
        <v>22</v>
      </c>
      <c r="B58" s="35">
        <v>12</v>
      </c>
      <c r="C58" s="36" t="s">
        <v>13</v>
      </c>
      <c r="D58" s="36" t="s">
        <v>14</v>
      </c>
      <c r="E58" s="35">
        <v>1.5</v>
      </c>
      <c r="F58" t="s">
        <v>172</v>
      </c>
      <c r="G58"/>
      <c r="H58"/>
      <c r="I58"/>
      <c r="J58" s="72" t="s">
        <v>15</v>
      </c>
      <c r="K58" s="35" t="s">
        <v>8</v>
      </c>
      <c r="L58" s="37"/>
      <c r="M58" s="48">
        <v>45455</v>
      </c>
      <c r="N58">
        <v>1</v>
      </c>
      <c r="O58"/>
      <c r="P58">
        <v>251</v>
      </c>
      <c r="Q58"/>
      <c r="R58"/>
      <c r="S58"/>
      <c r="T58" t="s">
        <v>289</v>
      </c>
      <c r="U58">
        <v>-1</v>
      </c>
    </row>
    <row r="59" spans="1:21" ht="15" x14ac:dyDescent="0.25">
      <c r="A59" s="34">
        <v>23</v>
      </c>
      <c r="B59" s="35">
        <v>12</v>
      </c>
      <c r="C59" s="36" t="s">
        <v>14</v>
      </c>
      <c r="D59" s="36" t="s">
        <v>66</v>
      </c>
      <c r="E59" s="35">
        <v>1</v>
      </c>
      <c r="F59" t="s">
        <v>173</v>
      </c>
      <c r="G59"/>
      <c r="H59"/>
      <c r="I59"/>
      <c r="J59" t="s">
        <v>21</v>
      </c>
      <c r="K59" s="35" t="s">
        <v>8</v>
      </c>
      <c r="L59" s="37"/>
      <c r="M59" s="48">
        <v>45455</v>
      </c>
      <c r="N59">
        <v>1</v>
      </c>
      <c r="O59" t="s">
        <v>253</v>
      </c>
      <c r="P59">
        <v>182</v>
      </c>
      <c r="Q59"/>
      <c r="R59"/>
      <c r="S59"/>
      <c r="T59" t="s">
        <v>289</v>
      </c>
      <c r="U59">
        <v>1</v>
      </c>
    </row>
    <row r="60" spans="1:21" ht="15" x14ac:dyDescent="0.25">
      <c r="A60" s="34">
        <v>24</v>
      </c>
      <c r="B60" s="35">
        <v>12</v>
      </c>
      <c r="C60" s="118">
        <v>0.60416666666666663</v>
      </c>
      <c r="D60" s="36" t="s">
        <v>26</v>
      </c>
      <c r="E60" s="35">
        <v>1</v>
      </c>
      <c r="F60" t="s">
        <v>174</v>
      </c>
      <c r="G60"/>
      <c r="H60"/>
      <c r="I60"/>
      <c r="J60" t="s">
        <v>21</v>
      </c>
      <c r="K60" s="35" t="s">
        <v>8</v>
      </c>
      <c r="L60" s="37"/>
      <c r="M60" s="48">
        <v>45455</v>
      </c>
      <c r="N60">
        <v>1</v>
      </c>
      <c r="O60" t="s">
        <v>253</v>
      </c>
      <c r="P60">
        <v>11</v>
      </c>
      <c r="Q60"/>
      <c r="R60"/>
      <c r="S60"/>
      <c r="T60" t="s">
        <v>289</v>
      </c>
      <c r="U60">
        <v>1</v>
      </c>
    </row>
    <row r="61" spans="1:21" ht="15" x14ac:dyDescent="0.25">
      <c r="A61" s="34">
        <v>25</v>
      </c>
      <c r="B61" s="35">
        <v>12</v>
      </c>
      <c r="C61" s="36" t="s">
        <v>20</v>
      </c>
      <c r="D61" s="36" t="s">
        <v>11</v>
      </c>
      <c r="E61" s="35">
        <v>1</v>
      </c>
      <c r="F61"/>
      <c r="G61"/>
      <c r="H61"/>
      <c r="I61"/>
      <c r="J61" s="76" t="s">
        <v>21</v>
      </c>
      <c r="K61" s="35" t="s">
        <v>8</v>
      </c>
      <c r="L61" s="37" t="s">
        <v>175</v>
      </c>
      <c r="M61" s="48">
        <v>45455</v>
      </c>
      <c r="N61" s="76">
        <v>0</v>
      </c>
      <c r="O61"/>
      <c r="P61"/>
      <c r="Q61"/>
      <c r="R61"/>
      <c r="S61"/>
      <c r="T61" t="s">
        <v>289</v>
      </c>
      <c r="U61">
        <v>-1</v>
      </c>
    </row>
    <row r="62" spans="1:21" ht="15" x14ac:dyDescent="0.25">
      <c r="A62" s="34">
        <v>26</v>
      </c>
      <c r="B62" s="35">
        <v>13</v>
      </c>
      <c r="C62" s="36" t="s">
        <v>296</v>
      </c>
      <c r="D62" s="36" t="s">
        <v>85</v>
      </c>
      <c r="E62" s="35">
        <v>1</v>
      </c>
      <c r="F62" t="s">
        <v>145</v>
      </c>
      <c r="G62"/>
      <c r="H62"/>
      <c r="I62"/>
      <c r="J62" s="72" t="s">
        <v>15</v>
      </c>
      <c r="K62" s="35" t="s">
        <v>8</v>
      </c>
      <c r="L62" s="37"/>
      <c r="M62" s="48">
        <v>45456</v>
      </c>
      <c r="N62">
        <v>1</v>
      </c>
      <c r="O62"/>
      <c r="P62">
        <v>163</v>
      </c>
      <c r="Q62"/>
      <c r="R62"/>
      <c r="S62"/>
      <c r="T62" t="s">
        <v>289</v>
      </c>
      <c r="U62">
        <v>-1</v>
      </c>
    </row>
    <row r="63" spans="1:21" ht="15" x14ac:dyDescent="0.25">
      <c r="A63" s="34">
        <v>27</v>
      </c>
      <c r="B63" s="35">
        <v>13</v>
      </c>
      <c r="C63" s="36" t="s">
        <v>85</v>
      </c>
      <c r="D63" s="36" t="s">
        <v>72</v>
      </c>
      <c r="E63" s="35">
        <v>1</v>
      </c>
      <c r="F63" t="s">
        <v>163</v>
      </c>
      <c r="G63"/>
      <c r="H63"/>
      <c r="I63"/>
      <c r="J63" s="72" t="s">
        <v>15</v>
      </c>
      <c r="K63" s="35" t="s">
        <v>8</v>
      </c>
      <c r="L63" s="37"/>
      <c r="M63" s="48">
        <v>45456</v>
      </c>
      <c r="N63">
        <v>1</v>
      </c>
      <c r="O63"/>
      <c r="P63">
        <v>38</v>
      </c>
      <c r="Q63"/>
      <c r="R63"/>
      <c r="S63"/>
      <c r="T63" t="s">
        <v>289</v>
      </c>
      <c r="U63">
        <v>-1</v>
      </c>
    </row>
    <row r="64" spans="1:21" ht="15" x14ac:dyDescent="0.25">
      <c r="A64" s="34">
        <v>28</v>
      </c>
      <c r="B64" s="35">
        <v>13</v>
      </c>
      <c r="C64" s="36" t="s">
        <v>72</v>
      </c>
      <c r="D64" s="36" t="s">
        <v>69</v>
      </c>
      <c r="E64" s="35">
        <v>1.5</v>
      </c>
      <c r="F64"/>
      <c r="G64"/>
      <c r="H64"/>
      <c r="I64"/>
      <c r="J64" s="76" t="s">
        <v>65</v>
      </c>
      <c r="K64" s="35" t="s">
        <v>8</v>
      </c>
      <c r="L64" s="37" t="s">
        <v>164</v>
      </c>
      <c r="M64" s="48">
        <v>45456</v>
      </c>
      <c r="N64" s="76">
        <v>0</v>
      </c>
      <c r="O64"/>
      <c r="P64"/>
      <c r="Q64"/>
      <c r="R64"/>
      <c r="S64"/>
      <c r="T64" t="s">
        <v>289</v>
      </c>
      <c r="U64">
        <v>-1</v>
      </c>
    </row>
    <row r="65" spans="1:21" ht="15" x14ac:dyDescent="0.25">
      <c r="A65" s="34">
        <v>29</v>
      </c>
      <c r="B65" s="35">
        <v>13</v>
      </c>
      <c r="C65" s="36" t="s">
        <v>69</v>
      </c>
      <c r="D65" s="36" t="s">
        <v>25</v>
      </c>
      <c r="E65" s="35">
        <v>1.5</v>
      </c>
      <c r="F65" t="s">
        <v>160</v>
      </c>
      <c r="G65"/>
      <c r="H65"/>
      <c r="I65"/>
      <c r="J65" s="72" t="s">
        <v>15</v>
      </c>
      <c r="K65" s="35" t="s">
        <v>8</v>
      </c>
      <c r="L65" s="37"/>
      <c r="M65" s="48">
        <v>45456</v>
      </c>
      <c r="N65">
        <v>1</v>
      </c>
      <c r="O65"/>
      <c r="P65">
        <v>47</v>
      </c>
      <c r="Q65"/>
      <c r="R65"/>
      <c r="S65"/>
      <c r="T65" t="s">
        <v>289</v>
      </c>
      <c r="U65">
        <v>-1</v>
      </c>
    </row>
    <row r="66" spans="1:21" ht="15" x14ac:dyDescent="0.25">
      <c r="A66" s="34">
        <v>30</v>
      </c>
      <c r="B66" s="35">
        <v>13</v>
      </c>
      <c r="C66" s="36" t="s">
        <v>26</v>
      </c>
      <c r="D66" s="36" t="s">
        <v>70</v>
      </c>
      <c r="E66" s="35">
        <v>1</v>
      </c>
      <c r="F66" t="s">
        <v>167</v>
      </c>
      <c r="G66" t="s">
        <v>166</v>
      </c>
      <c r="H66"/>
      <c r="I66"/>
      <c r="J66" s="72" t="s">
        <v>15</v>
      </c>
      <c r="K66" s="35" t="s">
        <v>8</v>
      </c>
      <c r="L66" s="37"/>
      <c r="M66" s="48">
        <v>45456</v>
      </c>
      <c r="N66">
        <v>2</v>
      </c>
      <c r="O66"/>
      <c r="P66">
        <v>58</v>
      </c>
      <c r="Q66">
        <v>185</v>
      </c>
      <c r="R66"/>
      <c r="S66"/>
      <c r="T66" t="s">
        <v>289</v>
      </c>
      <c r="U66">
        <v>-1</v>
      </c>
    </row>
    <row r="67" spans="1:21" ht="15" x14ac:dyDescent="0.25">
      <c r="A67" s="34">
        <v>31</v>
      </c>
      <c r="B67" s="35">
        <v>13</v>
      </c>
      <c r="C67" s="36" t="s">
        <v>10</v>
      </c>
      <c r="D67" s="36" t="s">
        <v>20</v>
      </c>
      <c r="E67" s="35">
        <v>1</v>
      </c>
      <c r="F67" t="s">
        <v>168</v>
      </c>
      <c r="G67" t="s">
        <v>169</v>
      </c>
      <c r="H67"/>
      <c r="I67"/>
      <c r="J67" s="76" t="s">
        <v>21</v>
      </c>
      <c r="K67" s="35" t="s">
        <v>67</v>
      </c>
      <c r="L67" s="37"/>
      <c r="M67" s="48">
        <v>45456</v>
      </c>
      <c r="N67">
        <v>2</v>
      </c>
      <c r="O67"/>
      <c r="P67">
        <v>83</v>
      </c>
      <c r="Q67">
        <v>70</v>
      </c>
      <c r="R67"/>
      <c r="S67"/>
      <c r="T67" t="s">
        <v>289</v>
      </c>
      <c r="U67">
        <v>-1</v>
      </c>
    </row>
    <row r="68" spans="1:21" ht="15" x14ac:dyDescent="0.25">
      <c r="A68" s="34">
        <v>32</v>
      </c>
      <c r="B68" s="35">
        <v>14</v>
      </c>
      <c r="C68" s="36" t="s">
        <v>85</v>
      </c>
      <c r="D68" s="36" t="s">
        <v>93</v>
      </c>
      <c r="E68" s="35">
        <v>1.5</v>
      </c>
      <c r="F68" t="s">
        <v>172</v>
      </c>
      <c r="G68"/>
      <c r="H68"/>
      <c r="I68"/>
      <c r="J68" s="72" t="s">
        <v>15</v>
      </c>
      <c r="K68" s="35" t="s">
        <v>8</v>
      </c>
      <c r="L68" s="37"/>
      <c r="M68" s="48">
        <v>45457</v>
      </c>
      <c r="N68">
        <v>1</v>
      </c>
      <c r="O68"/>
      <c r="P68">
        <v>251</v>
      </c>
      <c r="Q68"/>
      <c r="R68"/>
      <c r="S68"/>
      <c r="T68" t="s">
        <v>289</v>
      </c>
      <c r="U68">
        <v>-1</v>
      </c>
    </row>
    <row r="69" spans="1:21" ht="15" x14ac:dyDescent="0.25">
      <c r="A69" s="34">
        <v>34</v>
      </c>
      <c r="B69" s="35">
        <v>14</v>
      </c>
      <c r="C69" s="36" t="s">
        <v>93</v>
      </c>
      <c r="D69" s="36" t="s">
        <v>69</v>
      </c>
      <c r="E69" s="35">
        <v>1</v>
      </c>
      <c r="F69" t="s">
        <v>176</v>
      </c>
      <c r="G69" t="s">
        <v>177</v>
      </c>
      <c r="H69"/>
      <c r="I69"/>
      <c r="J69" s="76" t="s">
        <v>21</v>
      </c>
      <c r="K69" s="35" t="s">
        <v>8</v>
      </c>
      <c r="L69" s="37"/>
      <c r="M69" s="48">
        <v>45457</v>
      </c>
      <c r="N69">
        <v>2</v>
      </c>
      <c r="O69"/>
      <c r="P69">
        <v>216</v>
      </c>
      <c r="Q69">
        <v>212</v>
      </c>
      <c r="R69"/>
      <c r="S69"/>
      <c r="T69" t="s">
        <v>289</v>
      </c>
      <c r="U69">
        <v>-1</v>
      </c>
    </row>
    <row r="70" spans="1:21" ht="15" x14ac:dyDescent="0.25">
      <c r="A70" s="34">
        <v>35</v>
      </c>
      <c r="B70" s="35">
        <v>17</v>
      </c>
      <c r="C70" s="36" t="s">
        <v>85</v>
      </c>
      <c r="D70" s="36" t="s">
        <v>93</v>
      </c>
      <c r="E70" s="35">
        <v>1.5</v>
      </c>
      <c r="F70"/>
      <c r="G70"/>
      <c r="H70"/>
      <c r="I70"/>
      <c r="J70" s="76" t="s">
        <v>65</v>
      </c>
      <c r="K70" s="35" t="s">
        <v>8</v>
      </c>
      <c r="L70" s="37" t="s">
        <v>158</v>
      </c>
      <c r="M70" s="48">
        <v>45460</v>
      </c>
      <c r="N70" s="76">
        <v>0</v>
      </c>
      <c r="O70"/>
      <c r="P70"/>
      <c r="Q70"/>
      <c r="R70"/>
      <c r="S70"/>
      <c r="T70" t="s">
        <v>289</v>
      </c>
      <c r="U70">
        <v>-1</v>
      </c>
    </row>
    <row r="71" spans="1:21" ht="15" x14ac:dyDescent="0.25">
      <c r="A71" s="34">
        <v>36</v>
      </c>
      <c r="B71" s="35">
        <v>17</v>
      </c>
      <c r="C71" s="36" t="s">
        <v>93</v>
      </c>
      <c r="D71" s="36" t="s">
        <v>69</v>
      </c>
      <c r="E71" s="35">
        <v>1</v>
      </c>
      <c r="F71" t="s">
        <v>159</v>
      </c>
      <c r="G71"/>
      <c r="H71"/>
      <c r="I71"/>
      <c r="J71" s="72" t="s">
        <v>15</v>
      </c>
      <c r="K71" s="35" t="s">
        <v>8</v>
      </c>
      <c r="L71" s="37"/>
      <c r="M71" s="48">
        <v>45460</v>
      </c>
      <c r="N71">
        <v>1</v>
      </c>
      <c r="O71"/>
      <c r="P71">
        <v>34</v>
      </c>
      <c r="Q71"/>
      <c r="R71"/>
      <c r="S71"/>
      <c r="T71" t="s">
        <v>289</v>
      </c>
      <c r="U71">
        <v>-1</v>
      </c>
    </row>
    <row r="72" spans="1:21" ht="15" x14ac:dyDescent="0.25">
      <c r="A72" s="34">
        <v>37</v>
      </c>
      <c r="B72" s="35">
        <v>17</v>
      </c>
      <c r="C72" s="36" t="s">
        <v>26</v>
      </c>
      <c r="D72" s="36" t="s">
        <v>10</v>
      </c>
      <c r="E72" s="35">
        <v>1.5</v>
      </c>
      <c r="F72"/>
      <c r="G72"/>
      <c r="H72"/>
      <c r="I72"/>
      <c r="J72" s="76" t="s">
        <v>65</v>
      </c>
      <c r="K72" s="35" t="s">
        <v>8</v>
      </c>
      <c r="L72" s="37" t="s">
        <v>158</v>
      </c>
      <c r="M72" s="48">
        <v>45460</v>
      </c>
      <c r="N72" s="76">
        <v>0</v>
      </c>
      <c r="O72"/>
      <c r="P72"/>
      <c r="Q72"/>
      <c r="R72"/>
      <c r="S72"/>
      <c r="T72" t="s">
        <v>289</v>
      </c>
      <c r="U72">
        <v>-1</v>
      </c>
    </row>
    <row r="73" spans="1:21" ht="15" x14ac:dyDescent="0.25">
      <c r="A73" s="34">
        <v>38</v>
      </c>
      <c r="B73" s="35">
        <v>17</v>
      </c>
      <c r="C73" s="36" t="s">
        <v>10</v>
      </c>
      <c r="D73" s="36" t="s">
        <v>20</v>
      </c>
      <c r="E73" s="35">
        <v>1</v>
      </c>
      <c r="F73" t="s">
        <v>147</v>
      </c>
      <c r="G73"/>
      <c r="H73"/>
      <c r="I73"/>
      <c r="J73" s="72" t="s">
        <v>15</v>
      </c>
      <c r="K73" s="35" t="s">
        <v>8</v>
      </c>
      <c r="L73" s="37"/>
      <c r="M73" s="48">
        <v>45460</v>
      </c>
      <c r="N73">
        <v>1</v>
      </c>
      <c r="O73"/>
      <c r="P73">
        <v>21</v>
      </c>
      <c r="Q73"/>
      <c r="R73"/>
      <c r="S73"/>
      <c r="T73" t="s">
        <v>289</v>
      </c>
      <c r="U73">
        <v>-1</v>
      </c>
    </row>
    <row r="74" spans="1:21" ht="15" x14ac:dyDescent="0.25">
      <c r="A74" s="34">
        <v>39</v>
      </c>
      <c r="B74" s="35">
        <v>18</v>
      </c>
      <c r="C74" s="36" t="s">
        <v>89</v>
      </c>
      <c r="D74" s="36" t="s">
        <v>93</v>
      </c>
      <c r="E74" s="35">
        <v>1</v>
      </c>
      <c r="F74" t="s">
        <v>161</v>
      </c>
      <c r="G74" t="s">
        <v>162</v>
      </c>
      <c r="H74" t="s">
        <v>160</v>
      </c>
      <c r="I74"/>
      <c r="J74" s="72" t="s">
        <v>15</v>
      </c>
      <c r="K74" s="35" t="s">
        <v>8</v>
      </c>
      <c r="L74" s="37"/>
      <c r="M74" s="48">
        <v>45461</v>
      </c>
      <c r="N74">
        <v>3</v>
      </c>
      <c r="O74"/>
      <c r="P74">
        <v>201</v>
      </c>
      <c r="Q74">
        <v>195</v>
      </c>
      <c r="R74">
        <v>47</v>
      </c>
      <c r="S74"/>
      <c r="T74" t="s">
        <v>289</v>
      </c>
      <c r="U74">
        <v>-1</v>
      </c>
    </row>
    <row r="75" spans="1:21" ht="15" x14ac:dyDescent="0.25">
      <c r="A75" s="34">
        <v>40</v>
      </c>
      <c r="B75" s="35">
        <v>18</v>
      </c>
      <c r="C75" s="36" t="s">
        <v>93</v>
      </c>
      <c r="D75" s="36" t="s">
        <v>69</v>
      </c>
      <c r="E75" s="35">
        <v>1</v>
      </c>
      <c r="F75" t="s">
        <v>160</v>
      </c>
      <c r="G75"/>
      <c r="H75"/>
      <c r="I75"/>
      <c r="J75" s="72" t="s">
        <v>15</v>
      </c>
      <c r="K75" s="35" t="s">
        <v>8</v>
      </c>
      <c r="L75" s="37"/>
      <c r="M75" s="48">
        <v>45461</v>
      </c>
      <c r="N75">
        <v>1</v>
      </c>
      <c r="O75"/>
      <c r="P75">
        <v>47</v>
      </c>
      <c r="Q75"/>
      <c r="R75"/>
      <c r="S75"/>
      <c r="T75" t="s">
        <v>289</v>
      </c>
      <c r="U75">
        <v>-1</v>
      </c>
    </row>
    <row r="76" spans="1:21" ht="15" x14ac:dyDescent="0.25">
      <c r="A76" s="34">
        <v>41</v>
      </c>
      <c r="B76" s="35">
        <v>18</v>
      </c>
      <c r="C76" s="36" t="s">
        <v>19</v>
      </c>
      <c r="D76" s="36" t="s">
        <v>20</v>
      </c>
      <c r="E76" s="35">
        <v>3</v>
      </c>
      <c r="F76"/>
      <c r="G76"/>
      <c r="H76"/>
      <c r="I76"/>
      <c r="J76" t="s">
        <v>18</v>
      </c>
      <c r="K76" s="35" t="s">
        <v>8</v>
      </c>
      <c r="L76" s="37" t="s">
        <v>158</v>
      </c>
      <c r="M76" s="48">
        <v>45461</v>
      </c>
      <c r="N76">
        <v>0</v>
      </c>
      <c r="O76" t="s">
        <v>256</v>
      </c>
      <c r="P76"/>
      <c r="Q76"/>
      <c r="R76"/>
      <c r="S76"/>
      <c r="T76" t="s">
        <v>289</v>
      </c>
      <c r="U76"/>
    </row>
    <row r="77" spans="1:21" ht="15" x14ac:dyDescent="0.25">
      <c r="A77" s="34">
        <v>42</v>
      </c>
      <c r="B77" s="35">
        <v>19</v>
      </c>
      <c r="C77" s="36" t="s">
        <v>296</v>
      </c>
      <c r="D77" s="36" t="s">
        <v>85</v>
      </c>
      <c r="E77" s="35">
        <v>1</v>
      </c>
      <c r="F77" t="s">
        <v>145</v>
      </c>
      <c r="G77"/>
      <c r="H77"/>
      <c r="I77"/>
      <c r="J77" s="72" t="s">
        <v>15</v>
      </c>
      <c r="K77" s="35" t="s">
        <v>8</v>
      </c>
      <c r="L77" s="37"/>
      <c r="M77" s="48">
        <v>45462</v>
      </c>
      <c r="N77">
        <v>1</v>
      </c>
      <c r="O77"/>
      <c r="P77">
        <v>163</v>
      </c>
      <c r="Q77"/>
      <c r="R77"/>
      <c r="S77"/>
      <c r="T77" t="s">
        <v>289</v>
      </c>
      <c r="U77">
        <v>-1</v>
      </c>
    </row>
    <row r="78" spans="1:21" ht="15" x14ac:dyDescent="0.25">
      <c r="A78" s="34">
        <v>43</v>
      </c>
      <c r="B78" s="35">
        <v>19</v>
      </c>
      <c r="C78" s="36" t="s">
        <v>85</v>
      </c>
      <c r="D78" s="36" t="s">
        <v>72</v>
      </c>
      <c r="E78" s="35">
        <v>1</v>
      </c>
      <c r="F78" t="s">
        <v>170</v>
      </c>
      <c r="G78" t="s">
        <v>171</v>
      </c>
      <c r="H78"/>
      <c r="I78"/>
      <c r="J78" s="76" t="s">
        <v>21</v>
      </c>
      <c r="K78" s="35" t="s">
        <v>8</v>
      </c>
      <c r="L78" s="37"/>
      <c r="M78" s="48">
        <v>45462</v>
      </c>
      <c r="N78">
        <v>2</v>
      </c>
      <c r="O78"/>
      <c r="P78">
        <v>209</v>
      </c>
      <c r="Q78">
        <v>167</v>
      </c>
      <c r="R78"/>
      <c r="S78"/>
      <c r="T78" t="s">
        <v>289</v>
      </c>
      <c r="U78">
        <v>-1</v>
      </c>
    </row>
    <row r="79" spans="1:21" ht="15" x14ac:dyDescent="0.25">
      <c r="A79" s="34">
        <v>44</v>
      </c>
      <c r="B79" s="35">
        <v>19</v>
      </c>
      <c r="C79" s="36" t="s">
        <v>10</v>
      </c>
      <c r="D79" s="36" t="s">
        <v>20</v>
      </c>
      <c r="E79" s="35">
        <v>1</v>
      </c>
      <c r="F79" t="s">
        <v>177</v>
      </c>
      <c r="G79"/>
      <c r="H79"/>
      <c r="I79"/>
      <c r="J79" s="72" t="s">
        <v>15</v>
      </c>
      <c r="K79" s="35" t="s">
        <v>8</v>
      </c>
      <c r="L79" s="37"/>
      <c r="M79" s="48">
        <v>45462</v>
      </c>
      <c r="N79">
        <v>1</v>
      </c>
      <c r="O79"/>
      <c r="P79">
        <v>212</v>
      </c>
      <c r="Q79"/>
      <c r="R79"/>
      <c r="S79"/>
      <c r="T79" t="s">
        <v>289</v>
      </c>
      <c r="U79">
        <v>-1</v>
      </c>
    </row>
    <row r="80" spans="1:21" ht="15" x14ac:dyDescent="0.25">
      <c r="A80" s="34">
        <v>45</v>
      </c>
      <c r="B80" s="35">
        <v>19</v>
      </c>
      <c r="C80" s="36" t="s">
        <v>11</v>
      </c>
      <c r="D80" s="36" t="s">
        <v>12</v>
      </c>
      <c r="E80" s="35">
        <v>3</v>
      </c>
      <c r="F80"/>
      <c r="G80"/>
      <c r="H80"/>
      <c r="I80"/>
      <c r="J80" s="76" t="s">
        <v>65</v>
      </c>
      <c r="K80" s="35" t="s">
        <v>8</v>
      </c>
      <c r="L80" s="37" t="s">
        <v>148</v>
      </c>
      <c r="M80" s="48">
        <v>45462</v>
      </c>
      <c r="N80" s="76">
        <v>0</v>
      </c>
      <c r="O80"/>
      <c r="P80"/>
      <c r="Q80"/>
      <c r="R80"/>
      <c r="S80"/>
      <c r="T80" t="s">
        <v>289</v>
      </c>
      <c r="U80">
        <v>-1</v>
      </c>
    </row>
    <row r="81" spans="1:21" ht="15" x14ac:dyDescent="0.25">
      <c r="A81" s="34">
        <v>46</v>
      </c>
      <c r="B81" s="35">
        <v>20</v>
      </c>
      <c r="C81" s="36" t="s">
        <v>72</v>
      </c>
      <c r="D81" s="36" t="s">
        <v>69</v>
      </c>
      <c r="E81" s="35">
        <v>1.5</v>
      </c>
      <c r="F81"/>
      <c r="G81"/>
      <c r="H81"/>
      <c r="I81"/>
      <c r="J81" s="76" t="s">
        <v>65</v>
      </c>
      <c r="K81" s="35" t="s">
        <v>8</v>
      </c>
      <c r="L81" s="37" t="s">
        <v>164</v>
      </c>
      <c r="M81" s="48">
        <v>45463</v>
      </c>
      <c r="N81" s="76">
        <v>0</v>
      </c>
      <c r="O81"/>
      <c r="P81"/>
      <c r="Q81"/>
      <c r="R81"/>
      <c r="S81"/>
      <c r="T81" t="s">
        <v>289</v>
      </c>
      <c r="U81">
        <v>-1</v>
      </c>
    </row>
    <row r="82" spans="1:21" ht="15" x14ac:dyDescent="0.25">
      <c r="A82" s="34">
        <v>47</v>
      </c>
      <c r="B82" s="35">
        <v>20</v>
      </c>
      <c r="C82" s="36" t="s">
        <v>26</v>
      </c>
      <c r="D82" s="36" t="s">
        <v>70</v>
      </c>
      <c r="E82" s="35">
        <v>1</v>
      </c>
      <c r="F82" t="s">
        <v>166</v>
      </c>
      <c r="G82" t="s">
        <v>167</v>
      </c>
      <c r="H82"/>
      <c r="I82"/>
      <c r="J82" s="72" t="s">
        <v>15</v>
      </c>
      <c r="K82" s="35" t="s">
        <v>8</v>
      </c>
      <c r="L82" s="37"/>
      <c r="M82" s="48">
        <v>45463</v>
      </c>
      <c r="N82">
        <v>2</v>
      </c>
      <c r="O82"/>
      <c r="P82">
        <v>185</v>
      </c>
      <c r="Q82">
        <v>58</v>
      </c>
      <c r="R82"/>
      <c r="S82"/>
      <c r="T82" t="s">
        <v>289</v>
      </c>
      <c r="U82">
        <v>-1</v>
      </c>
    </row>
    <row r="83" spans="1:21" ht="15" x14ac:dyDescent="0.25">
      <c r="A83" s="34">
        <v>48</v>
      </c>
      <c r="B83" s="35">
        <v>20</v>
      </c>
      <c r="C83" s="36" t="s">
        <v>20</v>
      </c>
      <c r="D83" s="36" t="s">
        <v>11</v>
      </c>
      <c r="E83" s="35">
        <v>1</v>
      </c>
      <c r="F83" t="s">
        <v>143</v>
      </c>
      <c r="G83"/>
      <c r="H83"/>
      <c r="I83"/>
      <c r="J83" t="s">
        <v>21</v>
      </c>
      <c r="K83" s="35" t="s">
        <v>8</v>
      </c>
      <c r="L83" s="37"/>
      <c r="M83" s="48">
        <v>45463</v>
      </c>
      <c r="N83">
        <v>1</v>
      </c>
      <c r="O83" t="s">
        <v>253</v>
      </c>
      <c r="P83">
        <v>116</v>
      </c>
      <c r="Q83"/>
      <c r="R83"/>
      <c r="S83"/>
      <c r="T83" t="s">
        <v>289</v>
      </c>
      <c r="U83">
        <v>1</v>
      </c>
    </row>
    <row r="84" spans="1:21" ht="15" x14ac:dyDescent="0.25">
      <c r="A84" s="34">
        <v>49</v>
      </c>
      <c r="B84" s="35">
        <v>21</v>
      </c>
      <c r="C84" s="36" t="s">
        <v>85</v>
      </c>
      <c r="D84" s="36" t="s">
        <v>72</v>
      </c>
      <c r="E84" s="35">
        <v>1</v>
      </c>
      <c r="F84" t="s">
        <v>178</v>
      </c>
      <c r="G84"/>
      <c r="H84"/>
      <c r="I84"/>
      <c r="J84" t="s">
        <v>21</v>
      </c>
      <c r="K84" s="35" t="s">
        <v>8</v>
      </c>
      <c r="L84" s="37"/>
      <c r="M84" s="48">
        <v>45464</v>
      </c>
      <c r="N84">
        <v>1</v>
      </c>
      <c r="O84" t="s">
        <v>253</v>
      </c>
      <c r="P84">
        <v>265</v>
      </c>
      <c r="Q84"/>
      <c r="R84"/>
      <c r="S84"/>
      <c r="T84" t="s">
        <v>289</v>
      </c>
      <c r="U84">
        <v>1</v>
      </c>
    </row>
    <row r="85" spans="1:21" ht="15" x14ac:dyDescent="0.25">
      <c r="A85" s="34">
        <v>50</v>
      </c>
      <c r="B85" s="35">
        <v>21</v>
      </c>
      <c r="C85" s="36" t="s">
        <v>24</v>
      </c>
      <c r="D85" s="36" t="s">
        <v>25</v>
      </c>
      <c r="E85" s="35">
        <v>1</v>
      </c>
      <c r="F85" t="s">
        <v>177</v>
      </c>
      <c r="G85" t="s">
        <v>176</v>
      </c>
      <c r="H85"/>
      <c r="I85"/>
      <c r="J85" s="76" t="s">
        <v>21</v>
      </c>
      <c r="K85" s="35" t="s">
        <v>8</v>
      </c>
      <c r="L85" s="37"/>
      <c r="M85" s="48">
        <v>45464</v>
      </c>
      <c r="N85">
        <v>2</v>
      </c>
      <c r="O85"/>
      <c r="P85">
        <v>212</v>
      </c>
      <c r="Q85">
        <v>216</v>
      </c>
      <c r="R85"/>
      <c r="S85"/>
      <c r="T85" t="s">
        <v>289</v>
      </c>
      <c r="U85">
        <v>-1</v>
      </c>
    </row>
    <row r="86" spans="1:21" ht="15" x14ac:dyDescent="0.25">
      <c r="A86" s="34">
        <v>51</v>
      </c>
      <c r="B86" s="35">
        <v>24</v>
      </c>
      <c r="C86" s="36" t="s">
        <v>85</v>
      </c>
      <c r="D86" s="36" t="s">
        <v>93</v>
      </c>
      <c r="E86" s="35">
        <v>1.5</v>
      </c>
      <c r="F86"/>
      <c r="G86"/>
      <c r="H86"/>
      <c r="I86"/>
      <c r="J86" s="76" t="s">
        <v>65</v>
      </c>
      <c r="K86" s="35" t="s">
        <v>8</v>
      </c>
      <c r="L86" s="37" t="s">
        <v>158</v>
      </c>
      <c r="M86" s="48">
        <v>45467</v>
      </c>
      <c r="N86" s="76">
        <v>0</v>
      </c>
      <c r="O86"/>
      <c r="P86"/>
      <c r="Q86"/>
      <c r="R86"/>
      <c r="S86"/>
      <c r="T86" t="s">
        <v>289</v>
      </c>
      <c r="U86">
        <v>-1</v>
      </c>
    </row>
    <row r="87" spans="1:21" ht="15" x14ac:dyDescent="0.25">
      <c r="A87" s="34">
        <v>52</v>
      </c>
      <c r="B87" s="35">
        <v>24</v>
      </c>
      <c r="C87" s="36" t="s">
        <v>93</v>
      </c>
      <c r="D87" s="36" t="s">
        <v>69</v>
      </c>
      <c r="E87" s="35">
        <v>1</v>
      </c>
      <c r="F87" t="s">
        <v>159</v>
      </c>
      <c r="G87"/>
      <c r="H87"/>
      <c r="I87"/>
      <c r="J87" s="72" t="s">
        <v>15</v>
      </c>
      <c r="K87" s="35" t="s">
        <v>8</v>
      </c>
      <c r="L87" s="37"/>
      <c r="M87" s="48">
        <v>45467</v>
      </c>
      <c r="N87">
        <v>1</v>
      </c>
      <c r="O87"/>
      <c r="P87">
        <v>34</v>
      </c>
      <c r="Q87"/>
      <c r="R87"/>
      <c r="S87"/>
      <c r="T87" t="s">
        <v>289</v>
      </c>
      <c r="U87">
        <v>-1</v>
      </c>
    </row>
    <row r="88" spans="1:21" ht="15" x14ac:dyDescent="0.25">
      <c r="A88" s="34">
        <v>53</v>
      </c>
      <c r="B88" s="35">
        <v>24</v>
      </c>
      <c r="C88" s="36" t="s">
        <v>26</v>
      </c>
      <c r="D88" s="36" t="s">
        <v>10</v>
      </c>
      <c r="E88" s="35">
        <v>1</v>
      </c>
      <c r="F88"/>
      <c r="G88"/>
      <c r="H88"/>
      <c r="I88"/>
      <c r="J88" s="76" t="s">
        <v>65</v>
      </c>
      <c r="K88" s="35" t="s">
        <v>8</v>
      </c>
      <c r="L88" s="37" t="s">
        <v>158</v>
      </c>
      <c r="M88" s="48">
        <v>45467</v>
      </c>
      <c r="N88" s="76">
        <v>0</v>
      </c>
      <c r="O88"/>
      <c r="P88"/>
      <c r="Q88"/>
      <c r="R88"/>
      <c r="S88"/>
      <c r="T88" t="s">
        <v>289</v>
      </c>
      <c r="U88">
        <v>-1</v>
      </c>
    </row>
    <row r="89" spans="1:21" ht="15" x14ac:dyDescent="0.25">
      <c r="A89" s="34">
        <v>54</v>
      </c>
      <c r="B89" s="35">
        <v>25</v>
      </c>
      <c r="C89" s="36" t="s">
        <v>297</v>
      </c>
      <c r="D89" s="36" t="s">
        <v>72</v>
      </c>
      <c r="E89" s="35">
        <v>1.5</v>
      </c>
      <c r="F89" t="s">
        <v>160</v>
      </c>
      <c r="G89"/>
      <c r="H89"/>
      <c r="I89"/>
      <c r="J89" s="72" t="s">
        <v>15</v>
      </c>
      <c r="K89" s="35" t="s">
        <v>8</v>
      </c>
      <c r="L89" s="37"/>
      <c r="M89" s="48">
        <v>45468</v>
      </c>
      <c r="N89">
        <v>1</v>
      </c>
      <c r="O89"/>
      <c r="P89">
        <v>47</v>
      </c>
      <c r="Q89"/>
      <c r="R89"/>
      <c r="S89"/>
      <c r="T89" t="s">
        <v>289</v>
      </c>
      <c r="U89">
        <v>-1</v>
      </c>
    </row>
    <row r="90" spans="1:21" ht="15" x14ac:dyDescent="0.25">
      <c r="A90" s="34">
        <v>55</v>
      </c>
      <c r="B90" s="35">
        <v>25</v>
      </c>
      <c r="C90" s="36" t="s">
        <v>72</v>
      </c>
      <c r="D90" s="36" t="s">
        <v>69</v>
      </c>
      <c r="E90" s="35">
        <v>1.5</v>
      </c>
      <c r="F90" t="s">
        <v>172</v>
      </c>
      <c r="G90"/>
      <c r="H90"/>
      <c r="I90"/>
      <c r="J90" s="72" t="s">
        <v>15</v>
      </c>
      <c r="K90" s="35" t="s">
        <v>8</v>
      </c>
      <c r="L90" s="37"/>
      <c r="M90" s="48">
        <v>45468</v>
      </c>
      <c r="N90">
        <v>1</v>
      </c>
      <c r="O90"/>
      <c r="P90">
        <v>251</v>
      </c>
      <c r="Q90"/>
      <c r="R90"/>
      <c r="S90"/>
      <c r="T90" t="s">
        <v>289</v>
      </c>
      <c r="U90">
        <v>-1</v>
      </c>
    </row>
    <row r="91" spans="1:21" ht="15" x14ac:dyDescent="0.25">
      <c r="A91" s="34">
        <v>56</v>
      </c>
      <c r="B91" s="35">
        <v>25</v>
      </c>
      <c r="C91" s="36" t="s">
        <v>25</v>
      </c>
      <c r="D91" s="36" t="s">
        <v>19</v>
      </c>
      <c r="E91" s="35">
        <v>1</v>
      </c>
      <c r="F91" t="s">
        <v>179</v>
      </c>
      <c r="G91" t="s">
        <v>180</v>
      </c>
      <c r="H91"/>
      <c r="I91"/>
      <c r="J91" s="72" t="s">
        <v>15</v>
      </c>
      <c r="K91" s="35" t="s">
        <v>8</v>
      </c>
      <c r="L91" s="37"/>
      <c r="M91" s="48">
        <v>45468</v>
      </c>
      <c r="N91">
        <v>2</v>
      </c>
      <c r="O91"/>
      <c r="P91">
        <v>132</v>
      </c>
      <c r="Q91">
        <v>53</v>
      </c>
      <c r="R91"/>
      <c r="S91"/>
      <c r="T91" t="s">
        <v>289</v>
      </c>
      <c r="U91">
        <v>-1</v>
      </c>
    </row>
    <row r="92" spans="1:21" ht="15" x14ac:dyDescent="0.25">
      <c r="A92" s="34">
        <v>57</v>
      </c>
      <c r="B92" s="35">
        <v>26</v>
      </c>
      <c r="C92" s="36" t="s">
        <v>297</v>
      </c>
      <c r="D92" s="36" t="s">
        <v>72</v>
      </c>
      <c r="E92" s="35">
        <v>1.5</v>
      </c>
      <c r="F92" t="s">
        <v>160</v>
      </c>
      <c r="G92"/>
      <c r="H92"/>
      <c r="I92"/>
      <c r="J92" s="72" t="s">
        <v>15</v>
      </c>
      <c r="K92" s="35" t="s">
        <v>8</v>
      </c>
      <c r="L92" s="37"/>
      <c r="M92" s="48">
        <v>45469</v>
      </c>
      <c r="N92">
        <v>1</v>
      </c>
      <c r="O92"/>
      <c r="P92">
        <v>47</v>
      </c>
      <c r="Q92"/>
      <c r="R92"/>
      <c r="S92"/>
      <c r="T92" t="s">
        <v>289</v>
      </c>
      <c r="U92">
        <v>-1</v>
      </c>
    </row>
    <row r="93" spans="1:21" ht="15" x14ac:dyDescent="0.25">
      <c r="A93" s="34">
        <v>58</v>
      </c>
      <c r="B93" s="35">
        <v>26</v>
      </c>
      <c r="C93" s="36" t="s">
        <v>13</v>
      </c>
      <c r="D93" s="36" t="s">
        <v>19</v>
      </c>
      <c r="E93" s="35">
        <v>3</v>
      </c>
      <c r="F93" t="s">
        <v>153</v>
      </c>
      <c r="G93" t="s">
        <v>152</v>
      </c>
      <c r="H93" t="s">
        <v>151</v>
      </c>
      <c r="I93"/>
      <c r="J93" s="76" t="s">
        <v>21</v>
      </c>
      <c r="K93" s="35" t="s">
        <v>8</v>
      </c>
      <c r="L93" s="37"/>
      <c r="M93" s="48">
        <v>45469</v>
      </c>
      <c r="N93">
        <v>3</v>
      </c>
      <c r="O93"/>
      <c r="P93">
        <v>276</v>
      </c>
      <c r="Q93">
        <v>270</v>
      </c>
      <c r="R93">
        <v>269</v>
      </c>
      <c r="S93"/>
      <c r="T93" t="s">
        <v>289</v>
      </c>
      <c r="U93">
        <v>-1</v>
      </c>
    </row>
    <row r="94" spans="1:21" ht="15" x14ac:dyDescent="0.25">
      <c r="A94" s="34">
        <v>59</v>
      </c>
      <c r="B94" s="35">
        <v>27</v>
      </c>
      <c r="C94" s="36" t="s">
        <v>298</v>
      </c>
      <c r="D94" s="36" t="s">
        <v>81</v>
      </c>
      <c r="E94" s="35">
        <v>1</v>
      </c>
      <c r="F94" t="s">
        <v>145</v>
      </c>
      <c r="G94"/>
      <c r="H94"/>
      <c r="I94"/>
      <c r="J94" s="72" t="s">
        <v>15</v>
      </c>
      <c r="K94" s="35" t="s">
        <v>8</v>
      </c>
      <c r="L94" s="37"/>
      <c r="M94" s="48">
        <v>45470</v>
      </c>
      <c r="N94">
        <v>1</v>
      </c>
      <c r="O94"/>
      <c r="P94">
        <v>163</v>
      </c>
      <c r="Q94"/>
      <c r="R94"/>
      <c r="S94"/>
      <c r="T94" t="s">
        <v>289</v>
      </c>
      <c r="U94">
        <v>-1</v>
      </c>
    </row>
    <row r="95" spans="1:21" ht="15" x14ac:dyDescent="0.25">
      <c r="A95" s="34">
        <v>60</v>
      </c>
      <c r="B95" s="35">
        <v>27</v>
      </c>
      <c r="C95" s="36" t="s">
        <v>297</v>
      </c>
      <c r="D95" s="36" t="s">
        <v>72</v>
      </c>
      <c r="E95" s="35">
        <v>1.5</v>
      </c>
      <c r="F95"/>
      <c r="G95"/>
      <c r="H95"/>
      <c r="I95"/>
      <c r="J95" s="76" t="s">
        <v>65</v>
      </c>
      <c r="K95" s="35" t="s">
        <v>8</v>
      </c>
      <c r="L95" s="37" t="s">
        <v>181</v>
      </c>
      <c r="M95" s="48">
        <v>45470</v>
      </c>
      <c r="N95" s="76">
        <v>0</v>
      </c>
      <c r="O95"/>
      <c r="P95"/>
      <c r="Q95"/>
      <c r="R95"/>
      <c r="S95"/>
      <c r="T95" t="s">
        <v>289</v>
      </c>
      <c r="U95">
        <v>-1</v>
      </c>
    </row>
    <row r="96" spans="1:21" ht="15" x14ac:dyDescent="0.25">
      <c r="A96" s="34">
        <v>61</v>
      </c>
      <c r="B96" s="35">
        <v>27</v>
      </c>
      <c r="C96" s="36" t="s">
        <v>72</v>
      </c>
      <c r="D96" s="36" t="s">
        <v>69</v>
      </c>
      <c r="E96" s="35">
        <v>1.5</v>
      </c>
      <c r="F96"/>
      <c r="G96"/>
      <c r="H96"/>
      <c r="I96"/>
      <c r="J96" s="76" t="s">
        <v>28</v>
      </c>
      <c r="K96" s="35" t="s">
        <v>8</v>
      </c>
      <c r="L96" s="37"/>
      <c r="M96" s="48">
        <v>45470</v>
      </c>
      <c r="N96" s="76">
        <v>0</v>
      </c>
      <c r="O96"/>
      <c r="P96"/>
      <c r="Q96"/>
      <c r="R96"/>
      <c r="S96"/>
      <c r="T96" t="s">
        <v>289</v>
      </c>
      <c r="U96">
        <v>-1</v>
      </c>
    </row>
    <row r="97" spans="1:21" ht="15" x14ac:dyDescent="0.25">
      <c r="A97" s="34">
        <v>62</v>
      </c>
      <c r="B97" s="35">
        <v>27</v>
      </c>
      <c r="C97" s="36" t="s">
        <v>69</v>
      </c>
      <c r="D97" s="36" t="s">
        <v>26</v>
      </c>
      <c r="E97" s="35">
        <v>3</v>
      </c>
      <c r="F97" t="s">
        <v>151</v>
      </c>
      <c r="G97" t="s">
        <v>152</v>
      </c>
      <c r="H97" t="s">
        <v>153</v>
      </c>
      <c r="I97"/>
      <c r="J97" s="76" t="s">
        <v>21</v>
      </c>
      <c r="K97" s="35" t="s">
        <v>8</v>
      </c>
      <c r="L97" s="37"/>
      <c r="M97" s="48">
        <v>45470</v>
      </c>
      <c r="N97">
        <v>3</v>
      </c>
      <c r="O97"/>
      <c r="P97">
        <v>269</v>
      </c>
      <c r="Q97">
        <v>270</v>
      </c>
      <c r="R97">
        <v>276</v>
      </c>
      <c r="S97"/>
      <c r="T97" t="s">
        <v>289</v>
      </c>
      <c r="U97">
        <v>-1</v>
      </c>
    </row>
    <row r="98" spans="1:21" ht="15" x14ac:dyDescent="0.25">
      <c r="A98" s="34">
        <v>63</v>
      </c>
      <c r="B98" s="35">
        <v>27</v>
      </c>
      <c r="C98" s="36" t="s">
        <v>26</v>
      </c>
      <c r="D98" s="36" t="s">
        <v>70</v>
      </c>
      <c r="E98" s="35">
        <v>1</v>
      </c>
      <c r="F98" t="s">
        <v>182</v>
      </c>
      <c r="G98" t="s">
        <v>167</v>
      </c>
      <c r="H98"/>
      <c r="I98"/>
      <c r="J98" s="72" t="s">
        <v>15</v>
      </c>
      <c r="K98" s="35" t="s">
        <v>8</v>
      </c>
      <c r="L98" s="37"/>
      <c r="M98" s="48">
        <v>45470</v>
      </c>
      <c r="N98">
        <v>2</v>
      </c>
      <c r="O98"/>
      <c r="P98">
        <v>188</v>
      </c>
      <c r="Q98">
        <v>58</v>
      </c>
      <c r="R98"/>
      <c r="S98"/>
      <c r="T98" t="s">
        <v>289</v>
      </c>
      <c r="U98">
        <v>-1</v>
      </c>
    </row>
    <row r="99" spans="1:21" ht="15" x14ac:dyDescent="0.25">
      <c r="A99" s="34">
        <v>64</v>
      </c>
      <c r="B99" s="35">
        <v>28</v>
      </c>
      <c r="C99" s="36" t="s">
        <v>85</v>
      </c>
      <c r="D99" s="36" t="s">
        <v>24</v>
      </c>
      <c r="E99" s="35">
        <v>3</v>
      </c>
      <c r="F99" t="s">
        <v>151</v>
      </c>
      <c r="G99" t="s">
        <v>152</v>
      </c>
      <c r="H99" t="s">
        <v>153</v>
      </c>
      <c r="I99"/>
      <c r="J99" s="76" t="s">
        <v>21</v>
      </c>
      <c r="K99" s="35" t="s">
        <v>8</v>
      </c>
      <c r="L99" s="37"/>
      <c r="M99" s="48">
        <v>45471</v>
      </c>
      <c r="N99">
        <v>3</v>
      </c>
      <c r="O99"/>
      <c r="P99">
        <v>269</v>
      </c>
      <c r="Q99">
        <v>270</v>
      </c>
      <c r="R99">
        <v>276</v>
      </c>
      <c r="S99"/>
      <c r="T99" t="s">
        <v>289</v>
      </c>
      <c r="U99">
        <v>-1</v>
      </c>
    </row>
  </sheetData>
  <mergeCells count="5">
    <mergeCell ref="J9:K10"/>
    <mergeCell ref="D10:D12"/>
    <mergeCell ref="E10:E12"/>
    <mergeCell ref="D15:D17"/>
    <mergeCell ref="E15:E17"/>
  </mergeCells>
  <phoneticPr fontId="21" type="noConversion"/>
  <conditionalFormatting sqref="U25:U99">
    <cfRule type="cellIs" dxfId="81" priority="1" stopIfTrue="1" operator="equal">
      <formula>-1</formula>
    </cfRule>
    <cfRule type="cellIs" dxfId="80" priority="2" stopIfTrue="1" operator="equal">
      <formula>1</formula>
    </cfRule>
    <cfRule type="cellIs" dxfId="79" priority="3" stopIfTrue="1" operator="equal">
      <formula>-2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0F876-A41C-4547-90CC-4B7A10DC71E8}">
  <sheetPr codeName="Hoja4"/>
  <dimension ref="A1:U111"/>
  <sheetViews>
    <sheetView topLeftCell="C14" zoomScale="94" zoomScaleNormal="100" workbookViewId="0">
      <selection activeCell="C40" sqref="C40"/>
    </sheetView>
  </sheetViews>
  <sheetFormatPr baseColWidth="10" defaultRowHeight="12.75" x14ac:dyDescent="0.2"/>
  <cols>
    <col min="1" max="2" width="5.7109375" style="17" hidden="1" customWidth="1"/>
    <col min="3" max="3" width="5.7109375" style="17" customWidth="1"/>
    <col min="4" max="4" width="5.7109375" style="17" hidden="1" customWidth="1"/>
    <col min="5" max="5" width="8.7109375" style="17" customWidth="1"/>
    <col min="6" max="9" width="20.7109375" style="17" hidden="1" customWidth="1"/>
    <col min="10" max="10" width="14.7109375" style="17" customWidth="1"/>
    <col min="11" max="11" width="16.7109375" style="17" customWidth="1"/>
    <col min="12" max="12" width="18.7109375" style="17" hidden="1" customWidth="1"/>
    <col min="13" max="14" width="11.42578125" style="17"/>
    <col min="15" max="15" width="25.7109375" style="17" customWidth="1"/>
    <col min="16" max="16384" width="11.42578125" style="17"/>
  </cols>
  <sheetData>
    <row r="1" spans="1:12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2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2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ht="13.5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MAYO</v>
      </c>
      <c r="K9" s="129"/>
      <c r="L9" s="19"/>
    </row>
    <row r="10" spans="1:12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</row>
    <row r="11" spans="1:12" ht="21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21">
        <f>SUMIF(J25:J110,"=ESCUELA",E25:E110)</f>
        <v>0</v>
      </c>
      <c r="L11" s="19"/>
    </row>
    <row r="12" spans="1:12" ht="13.5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21">
        <f>SUMIF(J25:J110,"=BONO",E25:E110)</f>
        <v>44.5</v>
      </c>
      <c r="L12" s="19"/>
    </row>
    <row r="13" spans="1:12" ht="21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21">
        <f>SUMIF(J25:J110,"=INFANTIL",E25:E110)</f>
        <v>0</v>
      </c>
      <c r="L13" s="19"/>
    </row>
    <row r="14" spans="1:12" ht="21.75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21">
        <f>SUMIF(J25:J110,"=CAPITANÍA",E25:E110)</f>
        <v>9</v>
      </c>
      <c r="L14" s="19"/>
    </row>
    <row r="15" spans="1:12" ht="21" x14ac:dyDescent="0.2">
      <c r="A15" s="19"/>
      <c r="B15" s="19"/>
      <c r="C15" s="19"/>
      <c r="D15" s="138" t="s">
        <v>2</v>
      </c>
      <c r="E15" s="135" t="s">
        <v>64</v>
      </c>
      <c r="F15" s="19"/>
      <c r="G15" s="19"/>
      <c r="H15" s="19"/>
      <c r="I15" s="19"/>
      <c r="J15" s="20" t="s">
        <v>127</v>
      </c>
      <c r="K15" s="21">
        <f>SUMIF(J25:J110,"=PARTICULAR",E25:E110)</f>
        <v>23.5</v>
      </c>
      <c r="L15" s="19"/>
    </row>
    <row r="16" spans="1:12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21">
        <f>SUMIF(J25:J110,"=TORNEO",E25:E110)</f>
        <v>0</v>
      </c>
      <c r="L16" s="19"/>
    </row>
    <row r="17" spans="1:21" ht="21.75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21">
        <f>SUMIF(J25:J110,"=COMPETICIÓN",E25:E110)</f>
        <v>16.5</v>
      </c>
      <c r="L17" s="16"/>
    </row>
    <row r="18" spans="1:21" ht="2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21">
        <f>SUMIF(J25:J110,"=CLASE-PARTIDO",E25:E110)</f>
        <v>0</v>
      </c>
      <c r="L18" s="16"/>
    </row>
    <row r="19" spans="1:21" x14ac:dyDescent="0.2">
      <c r="C19" s="16"/>
      <c r="F19" s="16"/>
      <c r="G19" s="16"/>
      <c r="H19" s="16"/>
      <c r="I19" s="16"/>
      <c r="J19" s="23"/>
      <c r="K19" s="24">
        <f>SUM(K11:K18)</f>
        <v>93.5</v>
      </c>
      <c r="L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2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2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21" ht="13.5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21" ht="15" customHeight="1" thickTop="1" thickBot="1" x14ac:dyDescent="0.25">
      <c r="A24" s="49" t="s">
        <v>155</v>
      </c>
      <c r="B24" s="42" t="s">
        <v>156</v>
      </c>
      <c r="C24" s="94" t="s">
        <v>132</v>
      </c>
      <c r="D24" s="50" t="s">
        <v>133</v>
      </c>
      <c r="E24" s="51" t="s">
        <v>157</v>
      </c>
      <c r="F24" s="42" t="s">
        <v>134</v>
      </c>
      <c r="G24" s="42" t="s">
        <v>135</v>
      </c>
      <c r="H24" s="42" t="s">
        <v>136</v>
      </c>
      <c r="I24" s="42" t="s">
        <v>137</v>
      </c>
      <c r="J24" s="42" t="s">
        <v>3</v>
      </c>
      <c r="K24" s="42" t="s">
        <v>4</v>
      </c>
      <c r="L24" s="53" t="s">
        <v>138</v>
      </c>
      <c r="M24" s="74" t="s">
        <v>246</v>
      </c>
      <c r="N24" s="82" t="s">
        <v>290</v>
      </c>
      <c r="O24" s="114" t="s">
        <v>247</v>
      </c>
      <c r="P24" s="74" t="s">
        <v>248</v>
      </c>
      <c r="Q24" s="75" t="s">
        <v>249</v>
      </c>
      <c r="R24" s="75" t="s">
        <v>250</v>
      </c>
      <c r="S24" s="82" t="s">
        <v>251</v>
      </c>
      <c r="T24" s="83" t="s">
        <v>288</v>
      </c>
      <c r="U24" s="84" t="s">
        <v>252</v>
      </c>
    </row>
    <row r="25" spans="1:21" ht="15" customHeight="1" x14ac:dyDescent="0.25">
      <c r="A25" s="46">
        <v>1</v>
      </c>
      <c r="B25" s="46">
        <v>6</v>
      </c>
      <c r="C25" s="103">
        <v>0.33333333333333331</v>
      </c>
      <c r="D25" s="46" t="s">
        <v>79</v>
      </c>
      <c r="E25" s="44">
        <v>1</v>
      </c>
      <c r="F25" t="s">
        <v>183</v>
      </c>
      <c r="G25"/>
      <c r="H25"/>
      <c r="I25"/>
      <c r="J25" s="72" t="s">
        <v>15</v>
      </c>
      <c r="K25" s="44" t="s">
        <v>8</v>
      </c>
      <c r="L25" s="46"/>
      <c r="M25" s="107">
        <v>45418</v>
      </c>
      <c r="N25" s="111">
        <v>1</v>
      </c>
      <c r="O25" s="106"/>
      <c r="P25" s="108">
        <v>121</v>
      </c>
      <c r="Q25"/>
      <c r="R25"/>
      <c r="S25" s="111"/>
      <c r="T25" t="s">
        <v>289</v>
      </c>
      <c r="U25" s="116">
        <v>-1</v>
      </c>
    </row>
    <row r="26" spans="1:21" ht="15" customHeight="1" x14ac:dyDescent="0.25">
      <c r="A26" s="46">
        <v>2</v>
      </c>
      <c r="B26" s="46">
        <v>6</v>
      </c>
      <c r="C26" s="103">
        <v>0.375</v>
      </c>
      <c r="D26" s="46" t="s">
        <v>85</v>
      </c>
      <c r="E26" s="44">
        <v>1</v>
      </c>
      <c r="F26" t="s">
        <v>149</v>
      </c>
      <c r="G26" t="s">
        <v>150</v>
      </c>
      <c r="H26"/>
      <c r="I26"/>
      <c r="J26" s="72" t="s">
        <v>15</v>
      </c>
      <c r="K26" s="44" t="s">
        <v>67</v>
      </c>
      <c r="L26" s="46"/>
      <c r="M26" s="107">
        <v>45418</v>
      </c>
      <c r="N26" s="111">
        <v>2</v>
      </c>
      <c r="O26" s="106"/>
      <c r="P26" s="108">
        <v>118</v>
      </c>
      <c r="Q26">
        <v>125</v>
      </c>
      <c r="R26"/>
      <c r="S26" s="111"/>
      <c r="T26" t="s">
        <v>289</v>
      </c>
      <c r="U26" s="116">
        <v>-1</v>
      </c>
    </row>
    <row r="27" spans="1:21" ht="15" customHeight="1" x14ac:dyDescent="0.25">
      <c r="A27" s="46">
        <v>3</v>
      </c>
      <c r="B27" s="46">
        <v>6</v>
      </c>
      <c r="C27" s="103">
        <v>0.41666666666666669</v>
      </c>
      <c r="D27" s="46" t="s">
        <v>93</v>
      </c>
      <c r="E27" s="44">
        <v>1.5</v>
      </c>
      <c r="F27" t="s">
        <v>260</v>
      </c>
      <c r="G27"/>
      <c r="H27"/>
      <c r="I27"/>
      <c r="J27" t="s">
        <v>65</v>
      </c>
      <c r="K27" s="44" t="s">
        <v>8</v>
      </c>
      <c r="L27" s="46" t="s">
        <v>158</v>
      </c>
      <c r="M27" s="107">
        <v>45418</v>
      </c>
      <c r="N27" s="111">
        <v>1</v>
      </c>
      <c r="O27" s="106" t="s">
        <v>293</v>
      </c>
      <c r="P27" s="108">
        <v>1</v>
      </c>
      <c r="Q27"/>
      <c r="R27"/>
      <c r="S27" s="111"/>
      <c r="T27" t="s">
        <v>289</v>
      </c>
      <c r="U27" s="116">
        <v>1</v>
      </c>
    </row>
    <row r="28" spans="1:21" ht="15" customHeight="1" x14ac:dyDescent="0.25">
      <c r="A28" s="46">
        <v>4</v>
      </c>
      <c r="B28" s="46">
        <v>6</v>
      </c>
      <c r="C28" s="103">
        <v>0.47916666666666669</v>
      </c>
      <c r="D28" s="46" t="s">
        <v>69</v>
      </c>
      <c r="E28" s="44">
        <v>1</v>
      </c>
      <c r="F28" t="s">
        <v>159</v>
      </c>
      <c r="G28"/>
      <c r="H28"/>
      <c r="I28"/>
      <c r="J28" s="72" t="s">
        <v>15</v>
      </c>
      <c r="K28" s="44" t="s">
        <v>8</v>
      </c>
      <c r="L28" s="46"/>
      <c r="M28" s="107">
        <v>45418</v>
      </c>
      <c r="N28" s="111">
        <v>1</v>
      </c>
      <c r="O28" s="106"/>
      <c r="P28" s="108">
        <v>34</v>
      </c>
      <c r="Q28"/>
      <c r="R28"/>
      <c r="S28" s="111"/>
      <c r="T28" t="s">
        <v>289</v>
      </c>
      <c r="U28" s="116">
        <v>-1</v>
      </c>
    </row>
    <row r="29" spans="1:21" ht="15" customHeight="1" x14ac:dyDescent="0.25">
      <c r="A29" s="46">
        <v>5</v>
      </c>
      <c r="B29" s="46">
        <v>6</v>
      </c>
      <c r="C29" s="103">
        <v>0.64583333333333337</v>
      </c>
      <c r="D29" s="46" t="s">
        <v>10</v>
      </c>
      <c r="E29" s="44">
        <v>1.5</v>
      </c>
      <c r="F29" t="s">
        <v>260</v>
      </c>
      <c r="G29"/>
      <c r="H29"/>
      <c r="I29"/>
      <c r="J29" t="s">
        <v>65</v>
      </c>
      <c r="K29" s="44" t="s">
        <v>8</v>
      </c>
      <c r="L29" s="46" t="s">
        <v>158</v>
      </c>
      <c r="M29" s="107">
        <v>45418</v>
      </c>
      <c r="N29" s="111">
        <v>1</v>
      </c>
      <c r="O29" s="106" t="s">
        <v>293</v>
      </c>
      <c r="P29" s="108">
        <v>1</v>
      </c>
      <c r="Q29"/>
      <c r="R29"/>
      <c r="S29" s="111"/>
      <c r="T29" t="s">
        <v>289</v>
      </c>
      <c r="U29" s="116">
        <v>1</v>
      </c>
    </row>
    <row r="30" spans="1:21" ht="15" customHeight="1" x14ac:dyDescent="0.25">
      <c r="A30" s="46">
        <v>6</v>
      </c>
      <c r="B30" s="46">
        <v>6</v>
      </c>
      <c r="C30" s="103">
        <v>0.70833333333333337</v>
      </c>
      <c r="D30" s="46" t="s">
        <v>20</v>
      </c>
      <c r="E30" s="44">
        <v>1</v>
      </c>
      <c r="F30" t="s">
        <v>184</v>
      </c>
      <c r="G30"/>
      <c r="H30"/>
      <c r="I30"/>
      <c r="J30" t="s">
        <v>21</v>
      </c>
      <c r="K30" s="44" t="s">
        <v>8</v>
      </c>
      <c r="L30" s="46"/>
      <c r="M30" s="107">
        <v>45418</v>
      </c>
      <c r="N30" s="111">
        <v>1</v>
      </c>
      <c r="O30" s="106" t="s">
        <v>253</v>
      </c>
      <c r="P30" s="108">
        <v>69</v>
      </c>
      <c r="Q30"/>
      <c r="R30"/>
      <c r="S30" s="111"/>
      <c r="T30" t="s">
        <v>289</v>
      </c>
      <c r="U30" s="116">
        <v>1</v>
      </c>
    </row>
    <row r="31" spans="1:21" ht="15" customHeight="1" x14ac:dyDescent="0.25">
      <c r="A31" s="46">
        <v>7</v>
      </c>
      <c r="B31" s="46">
        <v>7</v>
      </c>
      <c r="C31" s="103">
        <v>0.375</v>
      </c>
      <c r="D31" s="46" t="s">
        <v>85</v>
      </c>
      <c r="E31" s="44">
        <v>1</v>
      </c>
      <c r="F31" t="s">
        <v>145</v>
      </c>
      <c r="G31"/>
      <c r="H31"/>
      <c r="I31"/>
      <c r="J31" s="72" t="s">
        <v>15</v>
      </c>
      <c r="K31" s="44" t="s">
        <v>8</v>
      </c>
      <c r="L31" s="46"/>
      <c r="M31" s="107">
        <v>45419</v>
      </c>
      <c r="N31" s="111">
        <v>1</v>
      </c>
      <c r="O31" s="106"/>
      <c r="P31" s="108">
        <v>163</v>
      </c>
      <c r="Q31"/>
      <c r="R31"/>
      <c r="S31" s="111"/>
      <c r="T31" t="s">
        <v>289</v>
      </c>
      <c r="U31" s="116">
        <v>-1</v>
      </c>
    </row>
    <row r="32" spans="1:21" ht="15" customHeight="1" x14ac:dyDescent="0.25">
      <c r="A32" s="46">
        <v>8</v>
      </c>
      <c r="B32" s="46">
        <v>7</v>
      </c>
      <c r="C32" s="103">
        <v>0.4375</v>
      </c>
      <c r="D32" s="46" t="s">
        <v>93</v>
      </c>
      <c r="E32" s="44">
        <v>1</v>
      </c>
      <c r="F32" t="s">
        <v>161</v>
      </c>
      <c r="G32" t="s">
        <v>162</v>
      </c>
      <c r="H32"/>
      <c r="I32"/>
      <c r="J32" s="72" t="s">
        <v>15</v>
      </c>
      <c r="K32" s="44" t="s">
        <v>8</v>
      </c>
      <c r="L32" s="46"/>
      <c r="M32" s="107">
        <v>45419</v>
      </c>
      <c r="N32" s="111">
        <v>2</v>
      </c>
      <c r="O32" s="106"/>
      <c r="P32" s="108">
        <v>201</v>
      </c>
      <c r="Q32">
        <v>195</v>
      </c>
      <c r="R32"/>
      <c r="S32" s="111"/>
      <c r="T32" t="s">
        <v>289</v>
      </c>
      <c r="U32" s="116">
        <v>-1</v>
      </c>
    </row>
    <row r="33" spans="1:21" ht="15" customHeight="1" x14ac:dyDescent="0.25">
      <c r="A33" s="46">
        <v>9</v>
      </c>
      <c r="B33" s="46">
        <v>7</v>
      </c>
      <c r="C33" s="103">
        <v>0.625</v>
      </c>
      <c r="D33" s="46" t="s">
        <v>20</v>
      </c>
      <c r="E33" s="44">
        <v>3</v>
      </c>
      <c r="F33"/>
      <c r="G33"/>
      <c r="H33"/>
      <c r="I33"/>
      <c r="J33" t="s">
        <v>18</v>
      </c>
      <c r="K33" s="44" t="s">
        <v>8</v>
      </c>
      <c r="L33" s="46" t="s">
        <v>158</v>
      </c>
      <c r="M33" s="107">
        <v>45419</v>
      </c>
      <c r="N33" s="111">
        <v>0</v>
      </c>
      <c r="O33" s="106" t="s">
        <v>256</v>
      </c>
      <c r="P33" s="108"/>
      <c r="Q33"/>
      <c r="R33"/>
      <c r="S33" s="111"/>
      <c r="T33" t="s">
        <v>289</v>
      </c>
      <c r="U33" s="116"/>
    </row>
    <row r="34" spans="1:21" ht="15" customHeight="1" x14ac:dyDescent="0.25">
      <c r="A34" s="46">
        <v>10</v>
      </c>
      <c r="B34" s="46">
        <v>8</v>
      </c>
      <c r="C34" s="103">
        <v>0.33333333333333331</v>
      </c>
      <c r="D34" s="46" t="s">
        <v>79</v>
      </c>
      <c r="E34" s="44">
        <v>1</v>
      </c>
      <c r="F34" t="s">
        <v>183</v>
      </c>
      <c r="G34"/>
      <c r="H34"/>
      <c r="I34"/>
      <c r="J34" s="72" t="s">
        <v>15</v>
      </c>
      <c r="K34" s="44" t="s">
        <v>8</v>
      </c>
      <c r="L34" s="46"/>
      <c r="M34" s="107">
        <v>45420</v>
      </c>
      <c r="N34" s="111">
        <v>1</v>
      </c>
      <c r="O34" s="106"/>
      <c r="P34" s="108">
        <v>121</v>
      </c>
      <c r="Q34"/>
      <c r="R34"/>
      <c r="S34" s="111"/>
      <c r="T34" t="s">
        <v>289</v>
      </c>
      <c r="U34" s="116">
        <v>-1</v>
      </c>
    </row>
    <row r="35" spans="1:21" ht="15" customHeight="1" x14ac:dyDescent="0.25">
      <c r="A35" s="46">
        <v>11</v>
      </c>
      <c r="B35" s="46">
        <v>8</v>
      </c>
      <c r="C35" s="103">
        <v>0.41666666666666669</v>
      </c>
      <c r="D35" s="46" t="s">
        <v>72</v>
      </c>
      <c r="E35" s="44">
        <v>1</v>
      </c>
      <c r="F35" t="s">
        <v>170</v>
      </c>
      <c r="G35" t="s">
        <v>171</v>
      </c>
      <c r="H35"/>
      <c r="I35"/>
      <c r="J35" s="72" t="s">
        <v>15</v>
      </c>
      <c r="K35" s="44" t="s">
        <v>8</v>
      </c>
      <c r="L35" s="46"/>
      <c r="M35" s="107">
        <v>45420</v>
      </c>
      <c r="N35" s="111">
        <v>2</v>
      </c>
      <c r="O35" s="106"/>
      <c r="P35" s="108">
        <v>209</v>
      </c>
      <c r="Q35">
        <v>167</v>
      </c>
      <c r="R35"/>
      <c r="S35" s="111"/>
      <c r="T35" t="s">
        <v>289</v>
      </c>
      <c r="U35" s="116">
        <v>-1</v>
      </c>
    </row>
    <row r="36" spans="1:21" ht="15" customHeight="1" x14ac:dyDescent="0.25">
      <c r="A36" s="46">
        <v>12</v>
      </c>
      <c r="B36" s="46">
        <v>8</v>
      </c>
      <c r="C36" s="103">
        <v>0.52083333333333337</v>
      </c>
      <c r="D36" s="46" t="s">
        <v>24</v>
      </c>
      <c r="E36" s="44">
        <v>1</v>
      </c>
      <c r="F36" t="s">
        <v>185</v>
      </c>
      <c r="G36"/>
      <c r="H36"/>
      <c r="I36"/>
      <c r="J36" s="72" t="s">
        <v>15</v>
      </c>
      <c r="K36" s="44" t="s">
        <v>8</v>
      </c>
      <c r="L36" s="46"/>
      <c r="M36" s="107">
        <v>45420</v>
      </c>
      <c r="N36" s="111">
        <v>1</v>
      </c>
      <c r="O36" s="106"/>
      <c r="P36" s="108">
        <v>86</v>
      </c>
      <c r="Q36"/>
      <c r="R36"/>
      <c r="S36" s="111"/>
      <c r="T36" t="s">
        <v>289</v>
      </c>
      <c r="U36" s="116">
        <v>-1</v>
      </c>
    </row>
    <row r="37" spans="1:21" ht="15" customHeight="1" x14ac:dyDescent="0.25">
      <c r="A37" s="46">
        <v>13</v>
      </c>
      <c r="B37" s="46">
        <v>9</v>
      </c>
      <c r="C37" s="103">
        <v>0.33333333333333331</v>
      </c>
      <c r="D37" s="46" t="s">
        <v>79</v>
      </c>
      <c r="E37" s="44">
        <v>1</v>
      </c>
      <c r="F37" t="s">
        <v>183</v>
      </c>
      <c r="G37"/>
      <c r="H37"/>
      <c r="I37"/>
      <c r="J37" s="72" t="s">
        <v>15</v>
      </c>
      <c r="K37" s="44" t="s">
        <v>8</v>
      </c>
      <c r="L37" s="46"/>
      <c r="M37" s="107">
        <v>45421</v>
      </c>
      <c r="N37" s="111">
        <v>1</v>
      </c>
      <c r="O37" s="106"/>
      <c r="P37" s="108">
        <v>121</v>
      </c>
      <c r="Q37"/>
      <c r="R37"/>
      <c r="S37" s="111"/>
      <c r="T37" t="s">
        <v>289</v>
      </c>
      <c r="U37" s="116">
        <v>-1</v>
      </c>
    </row>
    <row r="38" spans="1:21" ht="15" customHeight="1" x14ac:dyDescent="0.25">
      <c r="A38" s="46">
        <v>14</v>
      </c>
      <c r="B38" s="46">
        <v>9</v>
      </c>
      <c r="C38" s="103">
        <v>0.375</v>
      </c>
      <c r="D38" s="46" t="s">
        <v>85</v>
      </c>
      <c r="E38" s="44">
        <v>1</v>
      </c>
      <c r="F38" t="s">
        <v>186</v>
      </c>
      <c r="G38"/>
      <c r="H38"/>
      <c r="I38"/>
      <c r="J38" t="s">
        <v>21</v>
      </c>
      <c r="K38" s="44" t="s">
        <v>8</v>
      </c>
      <c r="L38" s="46"/>
      <c r="M38" s="107">
        <v>45421</v>
      </c>
      <c r="N38" s="111">
        <v>1</v>
      </c>
      <c r="O38" s="106" t="s">
        <v>253</v>
      </c>
      <c r="P38" s="108">
        <v>130</v>
      </c>
      <c r="Q38"/>
      <c r="R38"/>
      <c r="S38" s="111"/>
      <c r="T38" t="s">
        <v>289</v>
      </c>
      <c r="U38" s="116">
        <v>1</v>
      </c>
    </row>
    <row r="39" spans="1:21" ht="15" customHeight="1" x14ac:dyDescent="0.25">
      <c r="A39" s="46">
        <v>15</v>
      </c>
      <c r="B39" s="46">
        <v>9</v>
      </c>
      <c r="C39" s="103">
        <v>0.41666666666666669</v>
      </c>
      <c r="D39" s="46" t="s">
        <v>72</v>
      </c>
      <c r="E39" s="44">
        <v>1</v>
      </c>
      <c r="F39" t="s">
        <v>163</v>
      </c>
      <c r="G39"/>
      <c r="H39"/>
      <c r="I39"/>
      <c r="J39" s="72" t="s">
        <v>15</v>
      </c>
      <c r="K39" s="44" t="s">
        <v>8</v>
      </c>
      <c r="L39" s="46"/>
      <c r="M39" s="107">
        <v>45421</v>
      </c>
      <c r="N39" s="111">
        <v>1</v>
      </c>
      <c r="O39" s="106"/>
      <c r="P39" s="108">
        <v>38</v>
      </c>
      <c r="Q39"/>
      <c r="R39"/>
      <c r="S39" s="111"/>
      <c r="T39" t="s">
        <v>289</v>
      </c>
      <c r="U39" s="116">
        <v>-1</v>
      </c>
    </row>
    <row r="40" spans="1:21" ht="15" customHeight="1" x14ac:dyDescent="0.25">
      <c r="A40" s="46">
        <v>16</v>
      </c>
      <c r="B40" s="46">
        <v>9</v>
      </c>
      <c r="C40" s="103">
        <v>0.45833333333333331</v>
      </c>
      <c r="D40" s="46" t="s">
        <v>69</v>
      </c>
      <c r="E40" s="44">
        <v>1.5</v>
      </c>
      <c r="F40"/>
      <c r="G40"/>
      <c r="H40"/>
      <c r="I40"/>
      <c r="J40" s="76" t="s">
        <v>65</v>
      </c>
      <c r="K40" s="44" t="s">
        <v>8</v>
      </c>
      <c r="L40" s="46" t="s">
        <v>164</v>
      </c>
      <c r="M40" s="107">
        <v>45421</v>
      </c>
      <c r="N40" s="112">
        <v>0</v>
      </c>
      <c r="O40" s="106"/>
      <c r="P40" s="108"/>
      <c r="Q40"/>
      <c r="R40"/>
      <c r="S40" s="111"/>
      <c r="T40" t="s">
        <v>289</v>
      </c>
      <c r="U40" s="116">
        <v>-1</v>
      </c>
    </row>
    <row r="41" spans="1:21" ht="15" customHeight="1" x14ac:dyDescent="0.25">
      <c r="A41" s="46">
        <v>17</v>
      </c>
      <c r="B41" s="46">
        <v>9</v>
      </c>
      <c r="C41" s="103">
        <v>0.52083333333333337</v>
      </c>
      <c r="D41" s="46" t="s">
        <v>14</v>
      </c>
      <c r="E41" s="44">
        <v>1</v>
      </c>
      <c r="F41" t="s">
        <v>144</v>
      </c>
      <c r="G41"/>
      <c r="H41"/>
      <c r="I41"/>
      <c r="J41" s="72" t="s">
        <v>15</v>
      </c>
      <c r="K41" s="44" t="s">
        <v>8</v>
      </c>
      <c r="L41" s="46"/>
      <c r="M41" s="107">
        <v>45421</v>
      </c>
      <c r="N41" s="111">
        <v>1</v>
      </c>
      <c r="O41" s="106"/>
      <c r="P41" s="108">
        <v>81</v>
      </c>
      <c r="Q41"/>
      <c r="R41"/>
      <c r="S41" s="111"/>
      <c r="T41" t="s">
        <v>289</v>
      </c>
      <c r="U41" s="116">
        <v>-1</v>
      </c>
    </row>
    <row r="42" spans="1:21" ht="15" customHeight="1" x14ac:dyDescent="0.25">
      <c r="A42" s="46">
        <v>18</v>
      </c>
      <c r="B42" s="46">
        <v>9</v>
      </c>
      <c r="C42" s="103">
        <v>0.5625</v>
      </c>
      <c r="D42" s="46" t="s">
        <v>66</v>
      </c>
      <c r="E42" s="44">
        <v>1</v>
      </c>
      <c r="F42" t="s">
        <v>146</v>
      </c>
      <c r="G42"/>
      <c r="H42"/>
      <c r="I42"/>
      <c r="J42" s="72" t="s">
        <v>15</v>
      </c>
      <c r="K42" s="44" t="s">
        <v>8</v>
      </c>
      <c r="L42" s="46"/>
      <c r="M42" s="107">
        <v>45421</v>
      </c>
      <c r="N42" s="111">
        <v>1</v>
      </c>
      <c r="O42" s="106"/>
      <c r="P42" s="108">
        <v>103</v>
      </c>
      <c r="Q42"/>
      <c r="R42"/>
      <c r="S42" s="111"/>
      <c r="T42" t="s">
        <v>289</v>
      </c>
      <c r="U42" s="116">
        <v>-1</v>
      </c>
    </row>
    <row r="43" spans="1:21" ht="15" customHeight="1" x14ac:dyDescent="0.25">
      <c r="A43" s="46">
        <v>19</v>
      </c>
      <c r="B43" s="46">
        <v>9</v>
      </c>
      <c r="C43" s="103">
        <v>0.60416666666666663</v>
      </c>
      <c r="D43" s="46" t="s">
        <v>26</v>
      </c>
      <c r="E43" s="44">
        <v>1</v>
      </c>
      <c r="F43" t="s">
        <v>187</v>
      </c>
      <c r="G43"/>
      <c r="H43"/>
      <c r="I43"/>
      <c r="J43" t="s">
        <v>21</v>
      </c>
      <c r="K43" s="44" t="s">
        <v>8</v>
      </c>
      <c r="L43" s="46"/>
      <c r="M43" s="107">
        <v>45421</v>
      </c>
      <c r="N43" s="111">
        <v>1</v>
      </c>
      <c r="O43" s="106" t="s">
        <v>253</v>
      </c>
      <c r="P43" s="108">
        <v>52</v>
      </c>
      <c r="Q43"/>
      <c r="R43"/>
      <c r="S43" s="111"/>
      <c r="T43" t="s">
        <v>289</v>
      </c>
      <c r="U43" s="116">
        <v>1</v>
      </c>
    </row>
    <row r="44" spans="1:21" ht="15" customHeight="1" x14ac:dyDescent="0.25">
      <c r="A44" s="46">
        <v>20</v>
      </c>
      <c r="B44" s="46">
        <v>9</v>
      </c>
      <c r="C44" s="103">
        <v>0.64583333333333337</v>
      </c>
      <c r="D44" s="46" t="s">
        <v>70</v>
      </c>
      <c r="E44" s="44">
        <v>1</v>
      </c>
      <c r="F44" t="s">
        <v>166</v>
      </c>
      <c r="G44" t="s">
        <v>167</v>
      </c>
      <c r="H44"/>
      <c r="I44"/>
      <c r="J44" s="72" t="s">
        <v>15</v>
      </c>
      <c r="K44" s="44" t="s">
        <v>8</v>
      </c>
      <c r="L44" s="46"/>
      <c r="M44" s="107">
        <v>45421</v>
      </c>
      <c r="N44" s="111">
        <v>2</v>
      </c>
      <c r="O44" s="106"/>
      <c r="P44" s="108">
        <v>185</v>
      </c>
      <c r="Q44">
        <v>58</v>
      </c>
      <c r="R44"/>
      <c r="S44" s="111"/>
      <c r="T44" t="s">
        <v>289</v>
      </c>
      <c r="U44" s="116">
        <v>-1</v>
      </c>
    </row>
    <row r="45" spans="1:21" ht="15" customHeight="1" x14ac:dyDescent="0.25">
      <c r="A45" s="46">
        <v>21</v>
      </c>
      <c r="B45" s="46">
        <v>9</v>
      </c>
      <c r="C45" s="103">
        <v>0.6875</v>
      </c>
      <c r="D45" s="46" t="s">
        <v>5</v>
      </c>
      <c r="E45" s="44">
        <v>1</v>
      </c>
      <c r="F45" t="s">
        <v>188</v>
      </c>
      <c r="G45" t="s">
        <v>189</v>
      </c>
      <c r="H45"/>
      <c r="I45"/>
      <c r="J45" s="72" t="s">
        <v>15</v>
      </c>
      <c r="K45" s="44" t="s">
        <v>8</v>
      </c>
      <c r="L45" s="46"/>
      <c r="M45" s="107">
        <v>45421</v>
      </c>
      <c r="N45" s="111">
        <v>2</v>
      </c>
      <c r="O45" s="106"/>
      <c r="P45" s="108">
        <v>189</v>
      </c>
      <c r="Q45">
        <v>127</v>
      </c>
      <c r="R45"/>
      <c r="S45" s="111"/>
      <c r="T45" t="s">
        <v>289</v>
      </c>
      <c r="U45" s="116">
        <v>-1</v>
      </c>
    </row>
    <row r="46" spans="1:21" ht="15" customHeight="1" x14ac:dyDescent="0.25">
      <c r="A46" s="46">
        <v>22</v>
      </c>
      <c r="B46" s="46">
        <v>13</v>
      </c>
      <c r="C46" s="103">
        <v>0.33333333333333331</v>
      </c>
      <c r="D46" s="46" t="s">
        <v>79</v>
      </c>
      <c r="E46" s="44">
        <v>1</v>
      </c>
      <c r="F46" t="s">
        <v>183</v>
      </c>
      <c r="G46"/>
      <c r="H46"/>
      <c r="I46"/>
      <c r="J46" s="72" t="s">
        <v>15</v>
      </c>
      <c r="K46" s="44" t="s">
        <v>8</v>
      </c>
      <c r="L46" s="46"/>
      <c r="M46" s="107">
        <v>45425</v>
      </c>
      <c r="N46" s="111">
        <v>1</v>
      </c>
      <c r="O46" s="106"/>
      <c r="P46" s="108">
        <v>121</v>
      </c>
      <c r="Q46"/>
      <c r="R46"/>
      <c r="S46" s="111"/>
      <c r="T46" t="s">
        <v>289</v>
      </c>
      <c r="U46" s="116">
        <v>-1</v>
      </c>
    </row>
    <row r="47" spans="1:21" ht="15" customHeight="1" x14ac:dyDescent="0.25">
      <c r="A47" s="46">
        <v>23</v>
      </c>
      <c r="B47" s="46">
        <v>13</v>
      </c>
      <c r="C47" s="103">
        <v>0.41666666666666669</v>
      </c>
      <c r="D47" s="46" t="s">
        <v>93</v>
      </c>
      <c r="E47" s="44">
        <v>1.5</v>
      </c>
      <c r="F47"/>
      <c r="G47"/>
      <c r="H47"/>
      <c r="I47"/>
      <c r="J47" s="76" t="s">
        <v>65</v>
      </c>
      <c r="K47" s="44" t="s">
        <v>8</v>
      </c>
      <c r="L47" s="46" t="s">
        <v>158</v>
      </c>
      <c r="M47" s="107">
        <v>45425</v>
      </c>
      <c r="N47" s="112">
        <v>0</v>
      </c>
      <c r="O47" s="106"/>
      <c r="P47" s="108"/>
      <c r="Q47"/>
      <c r="R47"/>
      <c r="S47" s="111"/>
      <c r="T47" t="s">
        <v>289</v>
      </c>
      <c r="U47" s="116">
        <v>-1</v>
      </c>
    </row>
    <row r="48" spans="1:21" ht="15" customHeight="1" x14ac:dyDescent="0.25">
      <c r="A48" s="46">
        <v>24</v>
      </c>
      <c r="B48" s="46">
        <v>13</v>
      </c>
      <c r="C48" s="103">
        <v>0.47916666666666669</v>
      </c>
      <c r="D48" s="46" t="s">
        <v>69</v>
      </c>
      <c r="E48" s="44">
        <v>1</v>
      </c>
      <c r="F48" t="s">
        <v>159</v>
      </c>
      <c r="G48"/>
      <c r="H48"/>
      <c r="I48"/>
      <c r="J48" s="72" t="s">
        <v>15</v>
      </c>
      <c r="K48" s="44" t="s">
        <v>8</v>
      </c>
      <c r="L48" s="46"/>
      <c r="M48" s="107">
        <v>45425</v>
      </c>
      <c r="N48" s="111">
        <v>1</v>
      </c>
      <c r="O48" s="106"/>
      <c r="P48" s="108">
        <v>34</v>
      </c>
      <c r="Q48"/>
      <c r="R48"/>
      <c r="S48" s="111"/>
      <c r="T48" t="s">
        <v>289</v>
      </c>
      <c r="U48" s="116">
        <v>-1</v>
      </c>
    </row>
    <row r="49" spans="1:21" ht="15" customHeight="1" x14ac:dyDescent="0.25">
      <c r="A49" s="46">
        <v>25</v>
      </c>
      <c r="B49" s="46">
        <v>13</v>
      </c>
      <c r="C49" s="103">
        <v>0.625</v>
      </c>
      <c r="D49" s="46" t="s">
        <v>70</v>
      </c>
      <c r="E49" s="44">
        <v>1.5</v>
      </c>
      <c r="F49"/>
      <c r="G49"/>
      <c r="H49"/>
      <c r="I49"/>
      <c r="J49" s="76" t="s">
        <v>65</v>
      </c>
      <c r="K49" s="44" t="s">
        <v>8</v>
      </c>
      <c r="L49" s="46" t="s">
        <v>158</v>
      </c>
      <c r="M49" s="107">
        <v>45425</v>
      </c>
      <c r="N49" s="112">
        <v>0</v>
      </c>
      <c r="O49" s="106"/>
      <c r="P49" s="108"/>
      <c r="Q49"/>
      <c r="R49"/>
      <c r="S49" s="111"/>
      <c r="T49" t="s">
        <v>289</v>
      </c>
      <c r="U49" s="116">
        <v>-1</v>
      </c>
    </row>
    <row r="50" spans="1:21" ht="15" customHeight="1" x14ac:dyDescent="0.25">
      <c r="A50" s="46">
        <v>26</v>
      </c>
      <c r="B50" s="46">
        <v>13</v>
      </c>
      <c r="C50" s="103">
        <v>0.6875</v>
      </c>
      <c r="D50" s="46" t="s">
        <v>5</v>
      </c>
      <c r="E50" s="44">
        <v>1</v>
      </c>
      <c r="F50" t="s">
        <v>188</v>
      </c>
      <c r="G50" t="s">
        <v>189</v>
      </c>
      <c r="H50"/>
      <c r="I50"/>
      <c r="J50" s="72" t="s">
        <v>15</v>
      </c>
      <c r="K50" s="44" t="s">
        <v>8</v>
      </c>
      <c r="L50" s="46"/>
      <c r="M50" s="107">
        <v>45425</v>
      </c>
      <c r="N50" s="111">
        <v>2</v>
      </c>
      <c r="O50" s="106"/>
      <c r="P50" s="108">
        <v>189</v>
      </c>
      <c r="Q50">
        <v>127</v>
      </c>
      <c r="R50"/>
      <c r="S50" s="111"/>
      <c r="T50" t="s">
        <v>289</v>
      </c>
      <c r="U50" s="116">
        <v>-1</v>
      </c>
    </row>
    <row r="51" spans="1:21" ht="15" customHeight="1" x14ac:dyDescent="0.25">
      <c r="A51" s="46">
        <v>27</v>
      </c>
      <c r="B51" s="46">
        <v>14</v>
      </c>
      <c r="C51" s="103">
        <v>0.4375</v>
      </c>
      <c r="D51" s="46" t="s">
        <v>93</v>
      </c>
      <c r="E51" s="44">
        <v>1</v>
      </c>
      <c r="F51" t="s">
        <v>160</v>
      </c>
      <c r="G51" t="s">
        <v>162</v>
      </c>
      <c r="H51" t="s">
        <v>161</v>
      </c>
      <c r="I51"/>
      <c r="J51" s="72" t="s">
        <v>15</v>
      </c>
      <c r="K51" s="44" t="s">
        <v>8</v>
      </c>
      <c r="L51" s="46"/>
      <c r="M51" s="107">
        <v>45426</v>
      </c>
      <c r="N51" s="111">
        <v>3</v>
      </c>
      <c r="O51" s="106"/>
      <c r="P51" s="108">
        <v>47</v>
      </c>
      <c r="Q51">
        <v>195</v>
      </c>
      <c r="R51">
        <v>201</v>
      </c>
      <c r="S51" s="111"/>
      <c r="T51" t="s">
        <v>289</v>
      </c>
      <c r="U51" s="116">
        <v>-1</v>
      </c>
    </row>
    <row r="52" spans="1:21" ht="15" customHeight="1" x14ac:dyDescent="0.25">
      <c r="A52" s="46">
        <v>28</v>
      </c>
      <c r="B52" s="46">
        <v>14</v>
      </c>
      <c r="C52" s="103">
        <v>0.47916666666666669</v>
      </c>
      <c r="D52" s="46" t="s">
        <v>69</v>
      </c>
      <c r="E52" s="44">
        <v>1</v>
      </c>
      <c r="F52" t="s">
        <v>160</v>
      </c>
      <c r="G52"/>
      <c r="H52"/>
      <c r="I52"/>
      <c r="J52" s="72" t="s">
        <v>15</v>
      </c>
      <c r="K52" s="44" t="s">
        <v>8</v>
      </c>
      <c r="L52" s="46"/>
      <c r="M52" s="107">
        <v>45426</v>
      </c>
      <c r="N52" s="111">
        <v>1</v>
      </c>
      <c r="O52" s="106"/>
      <c r="P52" s="108">
        <v>47</v>
      </c>
      <c r="Q52"/>
      <c r="R52"/>
      <c r="S52" s="111"/>
      <c r="T52" t="s">
        <v>289</v>
      </c>
      <c r="U52" s="116">
        <v>-1</v>
      </c>
    </row>
    <row r="53" spans="1:21" ht="15" customHeight="1" x14ac:dyDescent="0.25">
      <c r="A53" s="46">
        <v>29</v>
      </c>
      <c r="B53" s="46">
        <v>14</v>
      </c>
      <c r="C53" s="103">
        <v>0.52083333333333337</v>
      </c>
      <c r="D53" s="46" t="s">
        <v>14</v>
      </c>
      <c r="E53" s="44">
        <v>1</v>
      </c>
      <c r="F53" t="s">
        <v>144</v>
      </c>
      <c r="G53"/>
      <c r="H53"/>
      <c r="I53"/>
      <c r="J53" s="72" t="s">
        <v>15</v>
      </c>
      <c r="K53" s="44" t="s">
        <v>8</v>
      </c>
      <c r="L53" s="46"/>
      <c r="M53" s="107">
        <v>45426</v>
      </c>
      <c r="N53" s="111">
        <v>1</v>
      </c>
      <c r="O53" s="106"/>
      <c r="P53" s="108">
        <v>81</v>
      </c>
      <c r="Q53"/>
      <c r="R53"/>
      <c r="S53" s="111"/>
      <c r="T53" t="s">
        <v>289</v>
      </c>
      <c r="U53" s="116">
        <v>-1</v>
      </c>
    </row>
    <row r="54" spans="1:21" ht="15" customHeight="1" x14ac:dyDescent="0.25">
      <c r="A54" s="46">
        <v>30</v>
      </c>
      <c r="B54" s="46">
        <v>14</v>
      </c>
      <c r="C54" s="103">
        <v>0.58333333333333337</v>
      </c>
      <c r="D54" s="46" t="s">
        <v>19</v>
      </c>
      <c r="E54" s="44">
        <v>1</v>
      </c>
      <c r="F54" t="s">
        <v>190</v>
      </c>
      <c r="G54" t="s">
        <v>191</v>
      </c>
      <c r="H54"/>
      <c r="I54"/>
      <c r="J54" s="76" t="s">
        <v>21</v>
      </c>
      <c r="K54" s="44" t="s">
        <v>8</v>
      </c>
      <c r="L54" s="46"/>
      <c r="M54" s="107">
        <v>45426</v>
      </c>
      <c r="N54" s="111">
        <v>2</v>
      </c>
      <c r="O54" s="106"/>
      <c r="P54" s="108">
        <v>174</v>
      </c>
      <c r="Q54">
        <v>7</v>
      </c>
      <c r="R54"/>
      <c r="S54" s="111"/>
      <c r="T54" t="s">
        <v>289</v>
      </c>
      <c r="U54" s="116">
        <v>-1</v>
      </c>
    </row>
    <row r="55" spans="1:21" ht="15" customHeight="1" x14ac:dyDescent="0.25">
      <c r="A55" s="46">
        <v>31</v>
      </c>
      <c r="B55" s="46">
        <v>15</v>
      </c>
      <c r="C55" s="103">
        <v>0.33333333333333331</v>
      </c>
      <c r="D55" s="46" t="s">
        <v>79</v>
      </c>
      <c r="E55" s="44">
        <v>1</v>
      </c>
      <c r="F55" t="s">
        <v>183</v>
      </c>
      <c r="G55"/>
      <c r="H55"/>
      <c r="I55"/>
      <c r="J55" s="72" t="s">
        <v>15</v>
      </c>
      <c r="K55" s="44" t="s">
        <v>8</v>
      </c>
      <c r="L55" s="46"/>
      <c r="M55" s="107">
        <v>45427</v>
      </c>
      <c r="N55" s="111">
        <v>1</v>
      </c>
      <c r="O55" s="106"/>
      <c r="P55" s="108">
        <v>121</v>
      </c>
      <c r="Q55"/>
      <c r="R55"/>
      <c r="S55" s="111"/>
      <c r="T55" t="s">
        <v>289</v>
      </c>
      <c r="U55" s="116">
        <v>-1</v>
      </c>
    </row>
    <row r="56" spans="1:21" ht="15" customHeight="1" x14ac:dyDescent="0.25">
      <c r="A56" s="46">
        <v>32</v>
      </c>
      <c r="B56" s="46">
        <v>15</v>
      </c>
      <c r="C56" s="103">
        <v>0.45833333333333331</v>
      </c>
      <c r="D56" s="46" t="s">
        <v>13</v>
      </c>
      <c r="E56" s="44">
        <v>1</v>
      </c>
      <c r="F56" t="s">
        <v>184</v>
      </c>
      <c r="G56"/>
      <c r="H56"/>
      <c r="I56"/>
      <c r="J56" t="s">
        <v>21</v>
      </c>
      <c r="K56" s="44" t="s">
        <v>8</v>
      </c>
      <c r="L56" s="46"/>
      <c r="M56" s="107">
        <v>45427</v>
      </c>
      <c r="N56" s="111">
        <v>1</v>
      </c>
      <c r="O56" s="106" t="s">
        <v>253</v>
      </c>
      <c r="P56" s="108">
        <v>69</v>
      </c>
      <c r="Q56"/>
      <c r="R56"/>
      <c r="S56" s="111"/>
      <c r="T56" t="s">
        <v>289</v>
      </c>
      <c r="U56" s="116">
        <v>1</v>
      </c>
    </row>
    <row r="57" spans="1:21" ht="15" customHeight="1" x14ac:dyDescent="0.25">
      <c r="A57" s="46">
        <v>34</v>
      </c>
      <c r="B57" s="46">
        <v>15</v>
      </c>
      <c r="C57" s="103">
        <v>0</v>
      </c>
      <c r="D57" s="46" t="s">
        <v>24</v>
      </c>
      <c r="E57" s="44">
        <v>1</v>
      </c>
      <c r="F57" t="s">
        <v>192</v>
      </c>
      <c r="G57"/>
      <c r="H57"/>
      <c r="I57"/>
      <c r="J57" t="s">
        <v>21</v>
      </c>
      <c r="K57" s="44" t="s">
        <v>8</v>
      </c>
      <c r="L57" s="46"/>
      <c r="M57" s="107">
        <v>45427</v>
      </c>
      <c r="N57" s="111">
        <v>1</v>
      </c>
      <c r="O57" s="106" t="s">
        <v>253</v>
      </c>
      <c r="P57" s="108">
        <v>122</v>
      </c>
      <c r="Q57"/>
      <c r="R57"/>
      <c r="S57" s="111"/>
      <c r="T57" t="s">
        <v>289</v>
      </c>
      <c r="U57" s="116">
        <v>1</v>
      </c>
    </row>
    <row r="58" spans="1:21" ht="15" customHeight="1" x14ac:dyDescent="0.25">
      <c r="A58" s="46">
        <v>35</v>
      </c>
      <c r="B58" s="46">
        <v>15</v>
      </c>
      <c r="C58" s="103">
        <v>0.54166666666666663</v>
      </c>
      <c r="D58" s="46" t="s">
        <v>25</v>
      </c>
      <c r="E58" s="44">
        <v>1</v>
      </c>
      <c r="F58" t="s">
        <v>193</v>
      </c>
      <c r="G58"/>
      <c r="H58"/>
      <c r="I58"/>
      <c r="J58" t="s">
        <v>21</v>
      </c>
      <c r="K58" s="44" t="s">
        <v>8</v>
      </c>
      <c r="L58" s="46"/>
      <c r="M58" s="107">
        <v>45427</v>
      </c>
      <c r="N58" s="111">
        <v>1</v>
      </c>
      <c r="O58" s="106" t="s">
        <v>253</v>
      </c>
      <c r="P58" s="108">
        <v>12</v>
      </c>
      <c r="Q58"/>
      <c r="R58"/>
      <c r="S58" s="111"/>
      <c r="T58" t="s">
        <v>289</v>
      </c>
      <c r="U58" s="116">
        <v>1</v>
      </c>
    </row>
    <row r="59" spans="1:21" ht="15" customHeight="1" x14ac:dyDescent="0.25">
      <c r="A59" s="46">
        <v>36</v>
      </c>
      <c r="B59" s="46">
        <v>16</v>
      </c>
      <c r="C59" s="103">
        <v>0.33333333333333331</v>
      </c>
      <c r="D59" s="46" t="s">
        <v>79</v>
      </c>
      <c r="E59" s="44">
        <v>1</v>
      </c>
      <c r="F59" t="s">
        <v>183</v>
      </c>
      <c r="G59"/>
      <c r="H59"/>
      <c r="I59"/>
      <c r="J59" s="72" t="s">
        <v>15</v>
      </c>
      <c r="K59" s="44" t="s">
        <v>8</v>
      </c>
      <c r="L59" s="46"/>
      <c r="M59" s="107">
        <v>45428</v>
      </c>
      <c r="N59" s="111">
        <v>1</v>
      </c>
      <c r="O59" s="106"/>
      <c r="P59" s="108">
        <v>121</v>
      </c>
      <c r="Q59"/>
      <c r="R59"/>
      <c r="S59" s="111"/>
      <c r="T59" t="s">
        <v>289</v>
      </c>
      <c r="U59" s="116">
        <v>-1</v>
      </c>
    </row>
    <row r="60" spans="1:21" ht="15" customHeight="1" x14ac:dyDescent="0.25">
      <c r="A60" s="46">
        <v>37</v>
      </c>
      <c r="B60" s="46">
        <v>16</v>
      </c>
      <c r="C60" s="103">
        <v>0.375</v>
      </c>
      <c r="D60" s="46" t="s">
        <v>85</v>
      </c>
      <c r="E60" s="44">
        <v>1</v>
      </c>
      <c r="F60" t="s">
        <v>145</v>
      </c>
      <c r="G60"/>
      <c r="H60"/>
      <c r="I60"/>
      <c r="J60" s="72" t="s">
        <v>15</v>
      </c>
      <c r="K60" s="44" t="s">
        <v>8</v>
      </c>
      <c r="L60" s="46"/>
      <c r="M60" s="107">
        <v>45428</v>
      </c>
      <c r="N60" s="111">
        <v>1</v>
      </c>
      <c r="O60" s="106"/>
      <c r="P60" s="108">
        <v>163</v>
      </c>
      <c r="Q60"/>
      <c r="R60"/>
      <c r="S60" s="111"/>
      <c r="T60" t="s">
        <v>289</v>
      </c>
      <c r="U60" s="116">
        <v>-1</v>
      </c>
    </row>
    <row r="61" spans="1:21" ht="15" customHeight="1" x14ac:dyDescent="0.25">
      <c r="A61" s="46">
        <v>38</v>
      </c>
      <c r="B61" s="46">
        <v>16</v>
      </c>
      <c r="C61" s="103">
        <v>0.41666666666666669</v>
      </c>
      <c r="D61" s="46" t="s">
        <v>72</v>
      </c>
      <c r="E61" s="44">
        <v>1</v>
      </c>
      <c r="F61" t="s">
        <v>163</v>
      </c>
      <c r="G61"/>
      <c r="H61"/>
      <c r="I61"/>
      <c r="J61" s="72" t="s">
        <v>15</v>
      </c>
      <c r="K61" s="44" t="s">
        <v>8</v>
      </c>
      <c r="L61" s="46"/>
      <c r="M61" s="107">
        <v>45428</v>
      </c>
      <c r="N61" s="111">
        <v>1</v>
      </c>
      <c r="O61" s="106"/>
      <c r="P61" s="108">
        <v>38</v>
      </c>
      <c r="Q61"/>
      <c r="R61"/>
      <c r="S61" s="111"/>
      <c r="T61" t="s">
        <v>289</v>
      </c>
      <c r="U61" s="116">
        <v>-1</v>
      </c>
    </row>
    <row r="62" spans="1:21" ht="15" customHeight="1" x14ac:dyDescent="0.25">
      <c r="A62" s="87">
        <v>39</v>
      </c>
      <c r="B62" s="87">
        <v>16</v>
      </c>
      <c r="C62" s="104">
        <v>0.45833333333333331</v>
      </c>
      <c r="D62" s="87" t="s">
        <v>69</v>
      </c>
      <c r="E62" s="88">
        <v>1.5</v>
      </c>
      <c r="F62" s="76" t="s">
        <v>295</v>
      </c>
      <c r="G62"/>
      <c r="H62"/>
      <c r="I62"/>
      <c r="J62" s="76" t="s">
        <v>277</v>
      </c>
      <c r="K62" s="88" t="s">
        <v>8</v>
      </c>
      <c r="L62" s="87" t="s">
        <v>164</v>
      </c>
      <c r="M62" s="108"/>
      <c r="N62" s="111">
        <v>1</v>
      </c>
      <c r="O62" s="106"/>
      <c r="P62" s="108"/>
      <c r="Q62"/>
      <c r="R62"/>
      <c r="S62" s="111"/>
      <c r="T62" t="s">
        <v>289</v>
      </c>
      <c r="U62" s="116">
        <v>-1</v>
      </c>
    </row>
    <row r="63" spans="1:21" ht="15" customHeight="1" x14ac:dyDescent="0.25">
      <c r="A63" s="56" t="s">
        <v>294</v>
      </c>
      <c r="B63" s="56">
        <v>16</v>
      </c>
      <c r="C63" s="105">
        <v>0.45833333333333331</v>
      </c>
      <c r="D63" s="56" t="s">
        <v>69</v>
      </c>
      <c r="E63" s="57">
        <v>1.5</v>
      </c>
      <c r="F63" t="s">
        <v>187</v>
      </c>
      <c r="G63"/>
      <c r="H63"/>
      <c r="I63"/>
      <c r="J63" t="s">
        <v>275</v>
      </c>
      <c r="K63" s="57" t="s">
        <v>8</v>
      </c>
      <c r="L63" s="56" t="s">
        <v>164</v>
      </c>
      <c r="M63" s="107">
        <v>45428</v>
      </c>
      <c r="N63" s="111">
        <v>1</v>
      </c>
      <c r="O63" s="106" t="s">
        <v>293</v>
      </c>
      <c r="P63" s="108">
        <v>52</v>
      </c>
      <c r="Q63"/>
      <c r="R63"/>
      <c r="S63" s="111"/>
      <c r="T63" t="s">
        <v>289</v>
      </c>
      <c r="U63" s="116">
        <v>-2</v>
      </c>
    </row>
    <row r="64" spans="1:21" ht="15" customHeight="1" x14ac:dyDescent="0.25">
      <c r="A64" s="56" t="s">
        <v>294</v>
      </c>
      <c r="B64" s="56">
        <v>16</v>
      </c>
      <c r="C64" s="105">
        <v>0.45833333333333331</v>
      </c>
      <c r="D64" s="56" t="s">
        <v>69</v>
      </c>
      <c r="E64" s="57">
        <v>1.5</v>
      </c>
      <c r="F64" t="s">
        <v>180</v>
      </c>
      <c r="G64"/>
      <c r="H64"/>
      <c r="I64"/>
      <c r="J64" t="s">
        <v>275</v>
      </c>
      <c r="K64" s="57" t="s">
        <v>8</v>
      </c>
      <c r="L64" s="56" t="s">
        <v>164</v>
      </c>
      <c r="M64" s="107">
        <v>45428</v>
      </c>
      <c r="N64" s="111">
        <v>1</v>
      </c>
      <c r="O64" s="106" t="s">
        <v>293</v>
      </c>
      <c r="P64" s="108">
        <v>53</v>
      </c>
      <c r="Q64"/>
      <c r="R64"/>
      <c r="S64" s="111"/>
      <c r="T64" t="s">
        <v>289</v>
      </c>
      <c r="U64" s="116">
        <v>-2</v>
      </c>
    </row>
    <row r="65" spans="1:21" ht="15" customHeight="1" x14ac:dyDescent="0.25">
      <c r="A65" s="56" t="s">
        <v>294</v>
      </c>
      <c r="B65" s="56">
        <v>16</v>
      </c>
      <c r="C65" s="105">
        <v>0.45833333333333331</v>
      </c>
      <c r="D65" s="56" t="s">
        <v>69</v>
      </c>
      <c r="E65" s="57">
        <v>1.5</v>
      </c>
      <c r="F65" t="s">
        <v>267</v>
      </c>
      <c r="G65"/>
      <c r="H65"/>
      <c r="I65"/>
      <c r="J65" t="s">
        <v>275</v>
      </c>
      <c r="K65" s="57" t="s">
        <v>8</v>
      </c>
      <c r="L65" s="56" t="s">
        <v>164</v>
      </c>
      <c r="M65" s="107">
        <v>45428</v>
      </c>
      <c r="N65" s="111">
        <v>1</v>
      </c>
      <c r="O65" s="106" t="s">
        <v>293</v>
      </c>
      <c r="P65" s="108">
        <v>54</v>
      </c>
      <c r="Q65"/>
      <c r="R65"/>
      <c r="S65" s="111"/>
      <c r="T65" t="s">
        <v>289</v>
      </c>
      <c r="U65" s="116">
        <v>-2</v>
      </c>
    </row>
    <row r="66" spans="1:21" ht="15" customHeight="1" x14ac:dyDescent="0.25">
      <c r="A66" s="56" t="s">
        <v>294</v>
      </c>
      <c r="B66" s="56">
        <v>16</v>
      </c>
      <c r="C66" s="105">
        <v>0.45833333333333331</v>
      </c>
      <c r="D66" s="56" t="s">
        <v>69</v>
      </c>
      <c r="E66" s="57">
        <v>1.5</v>
      </c>
      <c r="F66" t="s">
        <v>199</v>
      </c>
      <c r="G66"/>
      <c r="H66"/>
      <c r="I66"/>
      <c r="J66" t="s">
        <v>275</v>
      </c>
      <c r="K66" s="57" t="s">
        <v>8</v>
      </c>
      <c r="L66" s="56" t="s">
        <v>164</v>
      </c>
      <c r="M66" s="107">
        <v>45428</v>
      </c>
      <c r="N66" s="111">
        <v>1</v>
      </c>
      <c r="O66" s="106" t="s">
        <v>293</v>
      </c>
      <c r="P66" s="108">
        <v>55</v>
      </c>
      <c r="Q66"/>
      <c r="R66"/>
      <c r="S66" s="111"/>
      <c r="T66" t="s">
        <v>289</v>
      </c>
      <c r="U66" s="116">
        <v>-2</v>
      </c>
    </row>
    <row r="67" spans="1:21" ht="15" customHeight="1" x14ac:dyDescent="0.25">
      <c r="A67" s="56" t="s">
        <v>294</v>
      </c>
      <c r="B67" s="56">
        <v>16</v>
      </c>
      <c r="C67" s="105">
        <v>0.45833333333333331</v>
      </c>
      <c r="D67" s="56" t="s">
        <v>69</v>
      </c>
      <c r="E67" s="57">
        <v>1.5</v>
      </c>
      <c r="F67" t="s">
        <v>268</v>
      </c>
      <c r="G67"/>
      <c r="H67"/>
      <c r="I67"/>
      <c r="J67" t="s">
        <v>275</v>
      </c>
      <c r="K67" s="57" t="s">
        <v>8</v>
      </c>
      <c r="L67" s="56" t="s">
        <v>164</v>
      </c>
      <c r="M67" s="107">
        <v>45428</v>
      </c>
      <c r="N67" s="111">
        <v>1</v>
      </c>
      <c r="O67" s="106" t="s">
        <v>293</v>
      </c>
      <c r="P67" s="108">
        <v>56</v>
      </c>
      <c r="Q67"/>
      <c r="R67"/>
      <c r="S67" s="111"/>
      <c r="T67" t="s">
        <v>289</v>
      </c>
      <c r="U67" s="116">
        <v>-2</v>
      </c>
    </row>
    <row r="68" spans="1:21" ht="15" customHeight="1" x14ac:dyDescent="0.25">
      <c r="A68" s="56" t="s">
        <v>294</v>
      </c>
      <c r="B68" s="56">
        <v>16</v>
      </c>
      <c r="C68" s="105">
        <v>0.45833333333333331</v>
      </c>
      <c r="D68" s="56" t="s">
        <v>69</v>
      </c>
      <c r="E68" s="57">
        <v>1.5</v>
      </c>
      <c r="F68" t="s">
        <v>269</v>
      </c>
      <c r="G68"/>
      <c r="H68"/>
      <c r="I68"/>
      <c r="J68" t="s">
        <v>275</v>
      </c>
      <c r="K68" s="57" t="s">
        <v>8</v>
      </c>
      <c r="L68" s="56" t="s">
        <v>164</v>
      </c>
      <c r="M68" s="107">
        <v>45428</v>
      </c>
      <c r="N68" s="111">
        <v>1</v>
      </c>
      <c r="O68" s="106" t="s">
        <v>293</v>
      </c>
      <c r="P68" s="108">
        <v>93</v>
      </c>
      <c r="Q68"/>
      <c r="R68"/>
      <c r="S68" s="111"/>
      <c r="T68" t="s">
        <v>289</v>
      </c>
      <c r="U68" s="116">
        <v>-2</v>
      </c>
    </row>
    <row r="69" spans="1:21" ht="15" customHeight="1" x14ac:dyDescent="0.25">
      <c r="A69" s="46">
        <v>40</v>
      </c>
      <c r="B69" s="46">
        <v>16</v>
      </c>
      <c r="C69" s="103">
        <v>0.52083333333333337</v>
      </c>
      <c r="D69" s="46" t="s">
        <v>14</v>
      </c>
      <c r="E69" s="44">
        <v>1</v>
      </c>
      <c r="F69" t="s">
        <v>172</v>
      </c>
      <c r="G69"/>
      <c r="H69"/>
      <c r="I69"/>
      <c r="J69" t="s">
        <v>21</v>
      </c>
      <c r="K69" s="44" t="s">
        <v>8</v>
      </c>
      <c r="L69" s="46"/>
      <c r="M69" s="107">
        <v>45428</v>
      </c>
      <c r="N69" s="111">
        <v>1</v>
      </c>
      <c r="O69" s="106" t="s">
        <v>253</v>
      </c>
      <c r="P69" s="108">
        <v>251</v>
      </c>
      <c r="Q69"/>
      <c r="R69"/>
      <c r="S69" s="111"/>
      <c r="T69" t="s">
        <v>289</v>
      </c>
      <c r="U69" s="116">
        <v>1</v>
      </c>
    </row>
    <row r="70" spans="1:21" ht="15" customHeight="1" x14ac:dyDescent="0.25">
      <c r="A70" s="46">
        <v>41</v>
      </c>
      <c r="B70" s="46">
        <v>16</v>
      </c>
      <c r="C70" s="103">
        <v>0.60416666666666663</v>
      </c>
      <c r="D70" s="46" t="s">
        <v>26</v>
      </c>
      <c r="E70" s="44">
        <v>1</v>
      </c>
      <c r="F70" t="s">
        <v>143</v>
      </c>
      <c r="G70"/>
      <c r="H70"/>
      <c r="I70"/>
      <c r="J70" t="s">
        <v>21</v>
      </c>
      <c r="K70" s="44" t="s">
        <v>8</v>
      </c>
      <c r="L70" s="46"/>
      <c r="M70" s="107">
        <v>45428</v>
      </c>
      <c r="N70" s="111">
        <v>1</v>
      </c>
      <c r="O70" s="106" t="s">
        <v>253</v>
      </c>
      <c r="P70" s="108">
        <v>116</v>
      </c>
      <c r="Q70"/>
      <c r="R70"/>
      <c r="S70" s="111"/>
      <c r="T70" t="s">
        <v>289</v>
      </c>
      <c r="U70" s="116">
        <v>1</v>
      </c>
    </row>
    <row r="71" spans="1:21" ht="15" customHeight="1" x14ac:dyDescent="0.25">
      <c r="A71" s="46">
        <v>42</v>
      </c>
      <c r="B71" s="46">
        <v>16</v>
      </c>
      <c r="C71" s="103">
        <v>0.64583333333333337</v>
      </c>
      <c r="D71" s="46" t="s">
        <v>70</v>
      </c>
      <c r="E71" s="44">
        <v>1</v>
      </c>
      <c r="F71" t="s">
        <v>182</v>
      </c>
      <c r="G71" t="s">
        <v>167</v>
      </c>
      <c r="H71"/>
      <c r="I71"/>
      <c r="J71" s="72" t="s">
        <v>15</v>
      </c>
      <c r="K71" s="44" t="s">
        <v>8</v>
      </c>
      <c r="L71" s="46"/>
      <c r="M71" s="107">
        <v>45428</v>
      </c>
      <c r="N71" s="111">
        <v>2</v>
      </c>
      <c r="O71" s="106"/>
      <c r="P71" s="108">
        <v>188</v>
      </c>
      <c r="Q71">
        <v>58</v>
      </c>
      <c r="R71"/>
      <c r="S71" s="111"/>
      <c r="T71" t="s">
        <v>289</v>
      </c>
      <c r="U71" s="116">
        <v>-1</v>
      </c>
    </row>
    <row r="72" spans="1:21" ht="15" customHeight="1" x14ac:dyDescent="0.25">
      <c r="A72" s="46">
        <v>43</v>
      </c>
      <c r="B72" s="46">
        <v>20</v>
      </c>
      <c r="C72" s="103">
        <v>0.33333333333333331</v>
      </c>
      <c r="D72" s="46" t="s">
        <v>79</v>
      </c>
      <c r="E72" s="44">
        <v>1</v>
      </c>
      <c r="F72" t="s">
        <v>183</v>
      </c>
      <c r="G72"/>
      <c r="H72"/>
      <c r="I72"/>
      <c r="J72" s="72" t="s">
        <v>15</v>
      </c>
      <c r="K72" s="44" t="s">
        <v>8</v>
      </c>
      <c r="L72" s="46"/>
      <c r="M72" s="107">
        <v>45432</v>
      </c>
      <c r="N72" s="111">
        <v>1</v>
      </c>
      <c r="O72" s="106"/>
      <c r="P72" s="108">
        <v>121</v>
      </c>
      <c r="Q72"/>
      <c r="R72"/>
      <c r="S72" s="111"/>
      <c r="T72" t="s">
        <v>289</v>
      </c>
      <c r="U72" s="116">
        <v>-1</v>
      </c>
    </row>
    <row r="73" spans="1:21" ht="15" customHeight="1" x14ac:dyDescent="0.25">
      <c r="A73" s="46">
        <v>44</v>
      </c>
      <c r="B73" s="46">
        <v>20</v>
      </c>
      <c r="C73" s="103">
        <v>0.41666666666666669</v>
      </c>
      <c r="D73" s="46" t="s">
        <v>93</v>
      </c>
      <c r="E73" s="44">
        <v>1.5</v>
      </c>
      <c r="F73"/>
      <c r="G73"/>
      <c r="H73"/>
      <c r="I73"/>
      <c r="J73" s="76" t="s">
        <v>65</v>
      </c>
      <c r="K73" s="44" t="s">
        <v>8</v>
      </c>
      <c r="L73" s="46" t="s">
        <v>158</v>
      </c>
      <c r="M73" s="107">
        <v>45432</v>
      </c>
      <c r="N73" s="112">
        <v>0</v>
      </c>
      <c r="O73" s="106"/>
      <c r="P73" s="108"/>
      <c r="Q73"/>
      <c r="R73"/>
      <c r="S73" s="111"/>
      <c r="T73" t="s">
        <v>289</v>
      </c>
      <c r="U73" s="116">
        <v>-1</v>
      </c>
    </row>
    <row r="74" spans="1:21" ht="15" customHeight="1" x14ac:dyDescent="0.25">
      <c r="A74" s="46">
        <v>45</v>
      </c>
      <c r="B74" s="46">
        <v>20</v>
      </c>
      <c r="C74" s="103">
        <v>0.625</v>
      </c>
      <c r="D74" s="46" t="s">
        <v>70</v>
      </c>
      <c r="E74" s="44">
        <v>1.5</v>
      </c>
      <c r="F74"/>
      <c r="G74"/>
      <c r="H74"/>
      <c r="I74"/>
      <c r="J74" s="76" t="s">
        <v>65</v>
      </c>
      <c r="K74" s="44" t="s">
        <v>8</v>
      </c>
      <c r="L74" s="46" t="s">
        <v>158</v>
      </c>
      <c r="M74" s="107">
        <v>45432</v>
      </c>
      <c r="N74" s="112">
        <v>0</v>
      </c>
      <c r="O74" s="106"/>
      <c r="P74" s="108"/>
      <c r="Q74"/>
      <c r="R74"/>
      <c r="S74" s="111"/>
      <c r="T74" t="s">
        <v>289</v>
      </c>
      <c r="U74" s="116">
        <v>-1</v>
      </c>
    </row>
    <row r="75" spans="1:21" ht="15" customHeight="1" x14ac:dyDescent="0.25">
      <c r="A75" s="46">
        <v>46</v>
      </c>
      <c r="B75" s="46">
        <v>20</v>
      </c>
      <c r="C75" s="103">
        <v>0.70833333333333337</v>
      </c>
      <c r="D75" s="46" t="s">
        <v>20</v>
      </c>
      <c r="E75" s="44">
        <v>1</v>
      </c>
      <c r="F75" t="s">
        <v>147</v>
      </c>
      <c r="G75"/>
      <c r="H75"/>
      <c r="I75"/>
      <c r="J75" s="72" t="s">
        <v>15</v>
      </c>
      <c r="K75" s="44" t="s">
        <v>8</v>
      </c>
      <c r="L75" s="46"/>
      <c r="M75" s="107">
        <v>45432</v>
      </c>
      <c r="N75" s="111">
        <v>1</v>
      </c>
      <c r="O75" s="106"/>
      <c r="P75" s="108">
        <v>21</v>
      </c>
      <c r="Q75"/>
      <c r="R75"/>
      <c r="S75" s="111"/>
      <c r="T75" t="s">
        <v>289</v>
      </c>
      <c r="U75" s="116">
        <v>-1</v>
      </c>
    </row>
    <row r="76" spans="1:21" ht="15" customHeight="1" x14ac:dyDescent="0.25">
      <c r="A76" s="46">
        <v>47</v>
      </c>
      <c r="B76" s="46">
        <v>21</v>
      </c>
      <c r="C76" s="103">
        <v>0.39583333333333331</v>
      </c>
      <c r="D76" s="46" t="s">
        <v>72</v>
      </c>
      <c r="E76" s="44">
        <v>1.5</v>
      </c>
      <c r="F76" t="s">
        <v>187</v>
      </c>
      <c r="G76"/>
      <c r="H76"/>
      <c r="I76"/>
      <c r="J76" s="76" t="s">
        <v>21</v>
      </c>
      <c r="K76" s="44" t="s">
        <v>8</v>
      </c>
      <c r="L76" s="46"/>
      <c r="M76" s="107">
        <v>45433</v>
      </c>
      <c r="N76" s="111">
        <v>1</v>
      </c>
      <c r="O76" s="106"/>
      <c r="P76" s="108">
        <v>52</v>
      </c>
      <c r="Q76"/>
      <c r="R76"/>
      <c r="S76" s="111"/>
      <c r="T76" t="s">
        <v>289</v>
      </c>
      <c r="U76" s="116">
        <v>-1</v>
      </c>
    </row>
    <row r="77" spans="1:21" ht="15" customHeight="1" x14ac:dyDescent="0.25">
      <c r="A77" s="46">
        <v>48</v>
      </c>
      <c r="B77" s="46">
        <v>21</v>
      </c>
      <c r="C77" s="103">
        <v>0.45833333333333331</v>
      </c>
      <c r="D77" s="46" t="s">
        <v>24</v>
      </c>
      <c r="E77" s="44">
        <v>2</v>
      </c>
      <c r="F77" t="s">
        <v>160</v>
      </c>
      <c r="G77"/>
      <c r="H77"/>
      <c r="I77"/>
      <c r="J77" s="72" t="s">
        <v>15</v>
      </c>
      <c r="K77" s="44" t="s">
        <v>8</v>
      </c>
      <c r="L77" s="46"/>
      <c r="M77" s="107">
        <v>45433</v>
      </c>
      <c r="N77" s="111">
        <v>1</v>
      </c>
      <c r="O77" s="106"/>
      <c r="P77" s="108">
        <v>47</v>
      </c>
      <c r="Q77"/>
      <c r="R77"/>
      <c r="S77" s="111"/>
      <c r="T77" t="s">
        <v>289</v>
      </c>
      <c r="U77" s="116">
        <v>-1</v>
      </c>
    </row>
    <row r="78" spans="1:21" ht="15" customHeight="1" x14ac:dyDescent="0.25">
      <c r="A78" s="46">
        <v>49</v>
      </c>
      <c r="B78" s="46">
        <v>21</v>
      </c>
      <c r="C78" s="103">
        <v>0.54166666666666663</v>
      </c>
      <c r="D78" s="46" t="s">
        <v>25</v>
      </c>
      <c r="E78" s="44">
        <v>1</v>
      </c>
      <c r="F78" t="s">
        <v>144</v>
      </c>
      <c r="G78"/>
      <c r="H78"/>
      <c r="I78"/>
      <c r="J78" s="72" t="s">
        <v>15</v>
      </c>
      <c r="K78" s="44" t="s">
        <v>8</v>
      </c>
      <c r="L78" s="46"/>
      <c r="M78" s="107">
        <v>45433</v>
      </c>
      <c r="N78" s="111">
        <v>1</v>
      </c>
      <c r="O78" s="106"/>
      <c r="P78" s="108">
        <v>81</v>
      </c>
      <c r="Q78"/>
      <c r="R78"/>
      <c r="S78" s="111"/>
      <c r="T78" t="s">
        <v>289</v>
      </c>
      <c r="U78" s="116">
        <v>-1</v>
      </c>
    </row>
    <row r="79" spans="1:21" ht="15" customHeight="1" x14ac:dyDescent="0.25">
      <c r="A79" s="46">
        <v>50</v>
      </c>
      <c r="B79" s="46">
        <v>21</v>
      </c>
      <c r="C79" s="103">
        <v>0.625</v>
      </c>
      <c r="D79" s="46" t="s">
        <v>20</v>
      </c>
      <c r="E79" s="44">
        <v>3</v>
      </c>
      <c r="F79"/>
      <c r="G79"/>
      <c r="H79"/>
      <c r="I79"/>
      <c r="J79" t="s">
        <v>18</v>
      </c>
      <c r="K79" s="44" t="s">
        <v>8</v>
      </c>
      <c r="L79" s="46" t="s">
        <v>158</v>
      </c>
      <c r="M79" s="107">
        <v>45433</v>
      </c>
      <c r="N79" s="111">
        <v>0</v>
      </c>
      <c r="O79" s="106" t="s">
        <v>256</v>
      </c>
      <c r="P79" s="108"/>
      <c r="Q79"/>
      <c r="R79"/>
      <c r="S79" s="111"/>
      <c r="T79" t="s">
        <v>289</v>
      </c>
      <c r="U79" s="116"/>
    </row>
    <row r="80" spans="1:21" ht="15" customHeight="1" x14ac:dyDescent="0.25">
      <c r="A80" s="46">
        <v>51</v>
      </c>
      <c r="B80" s="46">
        <v>22</v>
      </c>
      <c r="C80" s="103">
        <v>0.45833333333333331</v>
      </c>
      <c r="D80" s="46" t="s">
        <v>13</v>
      </c>
      <c r="E80" s="44">
        <v>1</v>
      </c>
      <c r="F80" t="s">
        <v>160</v>
      </c>
      <c r="G80"/>
      <c r="H80"/>
      <c r="I80"/>
      <c r="J80" s="72" t="s">
        <v>15</v>
      </c>
      <c r="K80" s="44" t="s">
        <v>8</v>
      </c>
      <c r="L80" s="46"/>
      <c r="M80" s="107">
        <v>45434</v>
      </c>
      <c r="N80" s="111">
        <v>1</v>
      </c>
      <c r="O80" s="106"/>
      <c r="P80" s="108">
        <v>47</v>
      </c>
      <c r="Q80"/>
      <c r="R80"/>
      <c r="S80" s="111"/>
      <c r="T80" t="s">
        <v>289</v>
      </c>
      <c r="U80" s="116">
        <v>-1</v>
      </c>
    </row>
    <row r="81" spans="1:21" ht="15" customHeight="1" x14ac:dyDescent="0.25">
      <c r="A81" s="46">
        <v>52</v>
      </c>
      <c r="B81" s="46">
        <v>22</v>
      </c>
      <c r="C81" s="103">
        <v>0</v>
      </c>
      <c r="D81" s="46" t="s">
        <v>24</v>
      </c>
      <c r="E81" s="44">
        <v>1</v>
      </c>
      <c r="F81" t="s">
        <v>159</v>
      </c>
      <c r="G81"/>
      <c r="H81"/>
      <c r="I81"/>
      <c r="J81" s="72" t="s">
        <v>15</v>
      </c>
      <c r="K81" s="44" t="s">
        <v>8</v>
      </c>
      <c r="L81" s="46"/>
      <c r="M81" s="107">
        <v>45434</v>
      </c>
      <c r="N81" s="111">
        <v>1</v>
      </c>
      <c r="O81" s="106"/>
      <c r="P81" s="108">
        <v>34</v>
      </c>
      <c r="Q81"/>
      <c r="R81"/>
      <c r="S81" s="111"/>
      <c r="T81" t="s">
        <v>289</v>
      </c>
      <c r="U81" s="116">
        <v>-1</v>
      </c>
    </row>
    <row r="82" spans="1:21" ht="15" customHeight="1" x14ac:dyDescent="0.25">
      <c r="A82" s="46">
        <v>53</v>
      </c>
      <c r="B82" s="46">
        <v>22</v>
      </c>
      <c r="C82" s="103">
        <v>0.60416666666666663</v>
      </c>
      <c r="D82" s="46" t="s">
        <v>26</v>
      </c>
      <c r="E82" s="44">
        <v>1</v>
      </c>
      <c r="F82" t="s">
        <v>179</v>
      </c>
      <c r="G82"/>
      <c r="H82"/>
      <c r="I82"/>
      <c r="J82" s="72" t="s">
        <v>15</v>
      </c>
      <c r="K82" s="44" t="s">
        <v>8</v>
      </c>
      <c r="L82" s="46"/>
      <c r="M82" s="107">
        <v>45434</v>
      </c>
      <c r="N82" s="111">
        <v>1</v>
      </c>
      <c r="O82" s="106"/>
      <c r="P82" s="108">
        <v>132</v>
      </c>
      <c r="Q82"/>
      <c r="R82"/>
      <c r="S82" s="111"/>
      <c r="T82" t="s">
        <v>289</v>
      </c>
      <c r="U82" s="116">
        <v>-1</v>
      </c>
    </row>
    <row r="83" spans="1:21" ht="15" customHeight="1" x14ac:dyDescent="0.25">
      <c r="A83" s="46">
        <v>54</v>
      </c>
      <c r="B83" s="46">
        <v>23</v>
      </c>
      <c r="C83" s="103">
        <v>0.375</v>
      </c>
      <c r="D83" s="46" t="s">
        <v>85</v>
      </c>
      <c r="E83" s="44">
        <v>1</v>
      </c>
      <c r="F83" t="s">
        <v>145</v>
      </c>
      <c r="G83"/>
      <c r="H83"/>
      <c r="I83"/>
      <c r="J83" s="72" t="s">
        <v>15</v>
      </c>
      <c r="K83" s="44" t="s">
        <v>8</v>
      </c>
      <c r="L83" s="46"/>
      <c r="M83" s="107">
        <v>45435</v>
      </c>
      <c r="N83" s="111">
        <v>1</v>
      </c>
      <c r="O83" s="106"/>
      <c r="P83" s="108">
        <v>163</v>
      </c>
      <c r="Q83"/>
      <c r="R83"/>
      <c r="S83" s="111"/>
      <c r="T83" t="s">
        <v>289</v>
      </c>
      <c r="U83" s="116">
        <v>-1</v>
      </c>
    </row>
    <row r="84" spans="1:21" ht="15" customHeight="1" x14ac:dyDescent="0.25">
      <c r="A84" s="46">
        <v>55</v>
      </c>
      <c r="B84" s="46">
        <v>23</v>
      </c>
      <c r="C84" s="103">
        <v>0.41666666666666669</v>
      </c>
      <c r="D84" s="46" t="s">
        <v>72</v>
      </c>
      <c r="E84" s="44">
        <v>1</v>
      </c>
      <c r="F84" t="s">
        <v>163</v>
      </c>
      <c r="G84"/>
      <c r="H84"/>
      <c r="I84"/>
      <c r="J84" s="72" t="s">
        <v>15</v>
      </c>
      <c r="K84" s="44" t="s">
        <v>8</v>
      </c>
      <c r="L84" s="46"/>
      <c r="M84" s="107">
        <v>45435</v>
      </c>
      <c r="N84" s="111">
        <v>1</v>
      </c>
      <c r="O84" s="106"/>
      <c r="P84" s="108">
        <v>38</v>
      </c>
      <c r="Q84"/>
      <c r="R84"/>
      <c r="S84" s="111"/>
      <c r="T84" t="s">
        <v>289</v>
      </c>
      <c r="U84" s="116">
        <v>-1</v>
      </c>
    </row>
    <row r="85" spans="1:21" ht="15" customHeight="1" x14ac:dyDescent="0.25">
      <c r="A85" s="46">
        <v>56</v>
      </c>
      <c r="B85" s="46">
        <v>23</v>
      </c>
      <c r="C85" s="103">
        <v>0.45833333333333331</v>
      </c>
      <c r="D85" s="46" t="s">
        <v>69</v>
      </c>
      <c r="E85" s="44">
        <v>1.5</v>
      </c>
      <c r="F85"/>
      <c r="G85"/>
      <c r="H85"/>
      <c r="I85"/>
      <c r="J85" s="76" t="s">
        <v>65</v>
      </c>
      <c r="K85" s="44" t="s">
        <v>8</v>
      </c>
      <c r="L85" s="46" t="s">
        <v>164</v>
      </c>
      <c r="M85" s="107">
        <v>45435</v>
      </c>
      <c r="N85" s="112">
        <v>0</v>
      </c>
      <c r="O85" s="106"/>
      <c r="P85" s="108"/>
      <c r="Q85"/>
      <c r="R85"/>
      <c r="S85" s="111"/>
      <c r="T85" t="s">
        <v>289</v>
      </c>
      <c r="U85" s="116">
        <v>-1</v>
      </c>
    </row>
    <row r="86" spans="1:21" ht="15" customHeight="1" x14ac:dyDescent="0.25">
      <c r="A86" s="46">
        <v>57</v>
      </c>
      <c r="B86" s="46">
        <v>23</v>
      </c>
      <c r="C86" s="103">
        <v>0.52083333333333337</v>
      </c>
      <c r="D86" s="46" t="s">
        <v>14</v>
      </c>
      <c r="E86" s="44">
        <v>1</v>
      </c>
      <c r="F86" t="s">
        <v>172</v>
      </c>
      <c r="G86"/>
      <c r="H86"/>
      <c r="I86"/>
      <c r="J86" t="s">
        <v>21</v>
      </c>
      <c r="K86" s="44" t="s">
        <v>8</v>
      </c>
      <c r="L86" s="46"/>
      <c r="M86" s="107">
        <v>45435</v>
      </c>
      <c r="N86" s="111">
        <v>1</v>
      </c>
      <c r="O86" s="106" t="s">
        <v>253</v>
      </c>
      <c r="P86" s="108">
        <v>251</v>
      </c>
      <c r="Q86"/>
      <c r="R86"/>
      <c r="S86" s="111"/>
      <c r="T86" t="s">
        <v>289</v>
      </c>
      <c r="U86" s="116">
        <v>1</v>
      </c>
    </row>
    <row r="87" spans="1:21" ht="15" customHeight="1" x14ac:dyDescent="0.25">
      <c r="A87" s="46">
        <v>58</v>
      </c>
      <c r="B87" s="46">
        <v>23</v>
      </c>
      <c r="C87" s="103">
        <v>0.5625</v>
      </c>
      <c r="D87" s="46" t="s">
        <v>66</v>
      </c>
      <c r="E87" s="44">
        <v>1</v>
      </c>
      <c r="F87" t="s">
        <v>169</v>
      </c>
      <c r="G87"/>
      <c r="H87"/>
      <c r="I87"/>
      <c r="J87" t="s">
        <v>21</v>
      </c>
      <c r="K87" s="44" t="s">
        <v>8</v>
      </c>
      <c r="L87" s="46"/>
      <c r="M87" s="107">
        <v>45435</v>
      </c>
      <c r="N87" s="111">
        <v>1</v>
      </c>
      <c r="O87" s="106" t="s">
        <v>253</v>
      </c>
      <c r="P87" s="108">
        <v>70</v>
      </c>
      <c r="Q87"/>
      <c r="R87"/>
      <c r="S87" s="111"/>
      <c r="T87" t="s">
        <v>289</v>
      </c>
      <c r="U87" s="116">
        <v>1</v>
      </c>
    </row>
    <row r="88" spans="1:21" ht="15" customHeight="1" x14ac:dyDescent="0.25">
      <c r="A88" s="46">
        <v>59</v>
      </c>
      <c r="B88" s="46">
        <v>23</v>
      </c>
      <c r="C88" s="103">
        <v>0.64583333333333337</v>
      </c>
      <c r="D88" s="46" t="s">
        <v>70</v>
      </c>
      <c r="E88" s="44">
        <v>1</v>
      </c>
      <c r="F88" t="s">
        <v>182</v>
      </c>
      <c r="G88" t="s">
        <v>167</v>
      </c>
      <c r="H88"/>
      <c r="I88"/>
      <c r="J88" s="72" t="s">
        <v>15</v>
      </c>
      <c r="K88" s="44" t="s">
        <v>8</v>
      </c>
      <c r="L88" s="46"/>
      <c r="M88" s="107">
        <v>45435</v>
      </c>
      <c r="N88" s="111">
        <v>2</v>
      </c>
      <c r="O88" s="106"/>
      <c r="P88" s="108">
        <v>188</v>
      </c>
      <c r="Q88">
        <v>58</v>
      </c>
      <c r="R88"/>
      <c r="S88" s="111"/>
      <c r="T88" t="s">
        <v>289</v>
      </c>
      <c r="U88" s="116">
        <v>-1</v>
      </c>
    </row>
    <row r="89" spans="1:21" ht="15" customHeight="1" x14ac:dyDescent="0.25">
      <c r="A89" s="46">
        <v>60</v>
      </c>
      <c r="B89" s="46">
        <v>23</v>
      </c>
      <c r="C89" s="103">
        <v>0.70833333333333337</v>
      </c>
      <c r="D89" s="46" t="s">
        <v>20</v>
      </c>
      <c r="E89" s="44">
        <v>1</v>
      </c>
      <c r="F89" t="s">
        <v>168</v>
      </c>
      <c r="G89"/>
      <c r="H89"/>
      <c r="I89"/>
      <c r="J89" t="s">
        <v>21</v>
      </c>
      <c r="K89" s="44" t="s">
        <v>8</v>
      </c>
      <c r="L89" s="46"/>
      <c r="M89" s="107">
        <v>45435</v>
      </c>
      <c r="N89" s="111">
        <v>1</v>
      </c>
      <c r="O89" s="106" t="s">
        <v>253</v>
      </c>
      <c r="P89" s="108">
        <v>83</v>
      </c>
      <c r="Q89"/>
      <c r="R89"/>
      <c r="S89" s="111"/>
      <c r="T89" t="s">
        <v>289</v>
      </c>
      <c r="U89" s="116">
        <v>1</v>
      </c>
    </row>
    <row r="90" spans="1:21" ht="15" customHeight="1" x14ac:dyDescent="0.25">
      <c r="A90" s="46">
        <v>61</v>
      </c>
      <c r="B90" s="46">
        <v>23</v>
      </c>
      <c r="C90" s="103">
        <v>0.75</v>
      </c>
      <c r="D90" s="46" t="s">
        <v>11</v>
      </c>
      <c r="E90" s="44">
        <v>1</v>
      </c>
      <c r="F90" t="s">
        <v>194</v>
      </c>
      <c r="G90"/>
      <c r="H90"/>
      <c r="I90"/>
      <c r="J90" t="s">
        <v>21</v>
      </c>
      <c r="K90" s="44" t="s">
        <v>8</v>
      </c>
      <c r="L90" s="46"/>
      <c r="M90" s="107">
        <v>45435</v>
      </c>
      <c r="N90" s="111">
        <v>1</v>
      </c>
      <c r="O90" s="106" t="s">
        <v>253</v>
      </c>
      <c r="P90" s="108">
        <v>181</v>
      </c>
      <c r="Q90"/>
      <c r="R90"/>
      <c r="S90" s="111"/>
      <c r="T90" t="s">
        <v>289</v>
      </c>
      <c r="U90" s="116">
        <v>1</v>
      </c>
    </row>
    <row r="91" spans="1:21" ht="15" customHeight="1" x14ac:dyDescent="0.25">
      <c r="A91" s="46">
        <v>62</v>
      </c>
      <c r="B91" s="46">
        <v>23</v>
      </c>
      <c r="C91" s="103">
        <v>0.79166666666666663</v>
      </c>
      <c r="D91" s="46" t="s">
        <v>16</v>
      </c>
      <c r="E91" s="44">
        <v>1</v>
      </c>
      <c r="F91" t="s">
        <v>195</v>
      </c>
      <c r="G91"/>
      <c r="H91"/>
      <c r="I91"/>
      <c r="J91" t="s">
        <v>21</v>
      </c>
      <c r="K91" s="44" t="s">
        <v>8</v>
      </c>
      <c r="L91" s="46"/>
      <c r="M91" s="107">
        <v>45435</v>
      </c>
      <c r="N91" s="111">
        <v>1</v>
      </c>
      <c r="O91" s="106" t="s">
        <v>253</v>
      </c>
      <c r="P91" s="108">
        <v>208</v>
      </c>
      <c r="Q91"/>
      <c r="R91"/>
      <c r="S91" s="111"/>
      <c r="T91" t="s">
        <v>289</v>
      </c>
      <c r="U91" s="116">
        <v>1</v>
      </c>
    </row>
    <row r="92" spans="1:21" ht="15" customHeight="1" x14ac:dyDescent="0.25">
      <c r="A92" s="46">
        <v>63</v>
      </c>
      <c r="B92" s="46">
        <v>27</v>
      </c>
      <c r="C92" s="103">
        <v>0.375</v>
      </c>
      <c r="D92" s="46" t="s">
        <v>85</v>
      </c>
      <c r="E92" s="44">
        <v>1</v>
      </c>
      <c r="F92" t="s">
        <v>149</v>
      </c>
      <c r="G92" t="s">
        <v>150</v>
      </c>
      <c r="H92"/>
      <c r="I92"/>
      <c r="J92" s="72" t="s">
        <v>15</v>
      </c>
      <c r="K92" s="44" t="s">
        <v>8</v>
      </c>
      <c r="L92" s="46"/>
      <c r="M92" s="107">
        <v>45439</v>
      </c>
      <c r="N92" s="111">
        <v>2</v>
      </c>
      <c r="O92" s="106"/>
      <c r="P92" s="108">
        <v>118</v>
      </c>
      <c r="Q92">
        <v>125</v>
      </c>
      <c r="R92"/>
      <c r="S92" s="111"/>
      <c r="T92" t="s">
        <v>289</v>
      </c>
      <c r="U92" s="116">
        <v>-1</v>
      </c>
    </row>
    <row r="93" spans="1:21" ht="15" customHeight="1" x14ac:dyDescent="0.25">
      <c r="A93" s="46">
        <v>64</v>
      </c>
      <c r="B93" s="46">
        <v>27</v>
      </c>
      <c r="C93" s="103">
        <v>0.41666666666666669</v>
      </c>
      <c r="D93" s="46" t="s">
        <v>93</v>
      </c>
      <c r="E93" s="44">
        <v>1.5</v>
      </c>
      <c r="F93"/>
      <c r="G93"/>
      <c r="H93"/>
      <c r="I93"/>
      <c r="J93" s="76" t="s">
        <v>65</v>
      </c>
      <c r="K93" s="44" t="s">
        <v>8</v>
      </c>
      <c r="L93" s="46" t="s">
        <v>158</v>
      </c>
      <c r="M93" s="107">
        <v>45439</v>
      </c>
      <c r="N93" s="112">
        <v>0</v>
      </c>
      <c r="O93" s="106"/>
      <c r="P93" s="108"/>
      <c r="Q93"/>
      <c r="R93"/>
      <c r="S93" s="111"/>
      <c r="T93" t="s">
        <v>289</v>
      </c>
      <c r="U93" s="116">
        <v>-1</v>
      </c>
    </row>
    <row r="94" spans="1:21" ht="15" customHeight="1" x14ac:dyDescent="0.25">
      <c r="A94" s="46">
        <v>65</v>
      </c>
      <c r="B94" s="46">
        <v>27</v>
      </c>
      <c r="C94" s="103">
        <v>0.47916666666666669</v>
      </c>
      <c r="D94" s="46" t="s">
        <v>69</v>
      </c>
      <c r="E94" s="44">
        <v>1</v>
      </c>
      <c r="F94" t="s">
        <v>159</v>
      </c>
      <c r="G94"/>
      <c r="H94"/>
      <c r="I94"/>
      <c r="J94" s="72" t="s">
        <v>15</v>
      </c>
      <c r="K94" s="44" t="s">
        <v>8</v>
      </c>
      <c r="L94" s="46"/>
      <c r="M94" s="107">
        <v>45439</v>
      </c>
      <c r="N94" s="111">
        <v>1</v>
      </c>
      <c r="O94" s="106"/>
      <c r="P94" s="108">
        <v>34</v>
      </c>
      <c r="Q94"/>
      <c r="R94"/>
      <c r="S94" s="111"/>
      <c r="T94" t="s">
        <v>289</v>
      </c>
      <c r="U94" s="116">
        <v>-1</v>
      </c>
    </row>
    <row r="95" spans="1:21" ht="15" customHeight="1" x14ac:dyDescent="0.25">
      <c r="A95" s="46">
        <v>66</v>
      </c>
      <c r="B95" s="46">
        <v>27</v>
      </c>
      <c r="C95" s="103">
        <v>0.52083333333333337</v>
      </c>
      <c r="D95" s="46" t="s">
        <v>14</v>
      </c>
      <c r="E95" s="44">
        <v>1</v>
      </c>
      <c r="F95" t="s">
        <v>190</v>
      </c>
      <c r="G95"/>
      <c r="H95"/>
      <c r="I95"/>
      <c r="J95" t="s">
        <v>21</v>
      </c>
      <c r="K95" s="44" t="s">
        <v>8</v>
      </c>
      <c r="L95" s="46"/>
      <c r="M95" s="107">
        <v>45439</v>
      </c>
      <c r="N95" s="111">
        <v>1</v>
      </c>
      <c r="O95" s="106" t="s">
        <v>253</v>
      </c>
      <c r="P95" s="108">
        <v>174</v>
      </c>
      <c r="Q95"/>
      <c r="R95"/>
      <c r="S95" s="111"/>
      <c r="T95" t="s">
        <v>289</v>
      </c>
      <c r="U95" s="116">
        <v>1</v>
      </c>
    </row>
    <row r="96" spans="1:21" ht="15" customHeight="1" x14ac:dyDescent="0.25">
      <c r="A96" s="46">
        <v>67</v>
      </c>
      <c r="B96" s="46">
        <v>27</v>
      </c>
      <c r="C96" s="103">
        <v>0.625</v>
      </c>
      <c r="D96" s="46" t="s">
        <v>70</v>
      </c>
      <c r="E96" s="44">
        <v>1.5</v>
      </c>
      <c r="F96"/>
      <c r="G96"/>
      <c r="H96"/>
      <c r="I96"/>
      <c r="J96" s="76" t="s">
        <v>65</v>
      </c>
      <c r="K96" s="44" t="s">
        <v>8</v>
      </c>
      <c r="L96" s="46" t="s">
        <v>158</v>
      </c>
      <c r="M96" s="107">
        <v>45439</v>
      </c>
      <c r="N96" s="112">
        <v>0</v>
      </c>
      <c r="O96" s="106"/>
      <c r="P96" s="108"/>
      <c r="Q96"/>
      <c r="R96"/>
      <c r="S96" s="111"/>
      <c r="T96" t="s">
        <v>289</v>
      </c>
      <c r="U96" s="116">
        <v>-1</v>
      </c>
    </row>
    <row r="97" spans="1:21" ht="15" customHeight="1" x14ac:dyDescent="0.25">
      <c r="A97" s="46">
        <v>68</v>
      </c>
      <c r="B97" s="46">
        <v>27</v>
      </c>
      <c r="C97" s="103">
        <v>0.70833333333333337</v>
      </c>
      <c r="D97" s="46" t="s">
        <v>20</v>
      </c>
      <c r="E97" s="44">
        <v>1</v>
      </c>
      <c r="F97" t="s">
        <v>147</v>
      </c>
      <c r="G97"/>
      <c r="H97"/>
      <c r="I97"/>
      <c r="J97" s="72" t="s">
        <v>15</v>
      </c>
      <c r="K97" s="44" t="s">
        <v>8</v>
      </c>
      <c r="L97" s="46"/>
      <c r="M97" s="107">
        <v>45439</v>
      </c>
      <c r="N97" s="111">
        <v>1</v>
      </c>
      <c r="O97" s="106"/>
      <c r="P97" s="108">
        <v>21</v>
      </c>
      <c r="Q97"/>
      <c r="R97"/>
      <c r="S97" s="111"/>
      <c r="T97" t="s">
        <v>289</v>
      </c>
      <c r="U97" s="116">
        <v>-1</v>
      </c>
    </row>
    <row r="98" spans="1:21" ht="15" customHeight="1" x14ac:dyDescent="0.25">
      <c r="A98" s="46">
        <v>69</v>
      </c>
      <c r="B98" s="46">
        <v>28</v>
      </c>
      <c r="C98" s="103">
        <v>0.4375</v>
      </c>
      <c r="D98" s="46" t="s">
        <v>93</v>
      </c>
      <c r="E98" s="44">
        <v>1</v>
      </c>
      <c r="F98" t="s">
        <v>161</v>
      </c>
      <c r="G98" t="s">
        <v>162</v>
      </c>
      <c r="H98"/>
      <c r="I98"/>
      <c r="J98" s="72" t="s">
        <v>15</v>
      </c>
      <c r="K98" s="44" t="s">
        <v>8</v>
      </c>
      <c r="L98" s="46"/>
      <c r="M98" s="107">
        <v>45440</v>
      </c>
      <c r="N98" s="111">
        <v>2</v>
      </c>
      <c r="O98" s="106"/>
      <c r="P98" s="108">
        <v>201</v>
      </c>
      <c r="Q98">
        <v>195</v>
      </c>
      <c r="R98"/>
      <c r="S98" s="111"/>
      <c r="T98" t="s">
        <v>289</v>
      </c>
      <c r="U98" s="116">
        <v>-1</v>
      </c>
    </row>
    <row r="99" spans="1:21" ht="15" customHeight="1" x14ac:dyDescent="0.25">
      <c r="A99" s="46">
        <v>70</v>
      </c>
      <c r="B99" s="46">
        <v>28</v>
      </c>
      <c r="C99" s="103">
        <v>0.625</v>
      </c>
      <c r="D99" s="46" t="s">
        <v>20</v>
      </c>
      <c r="E99" s="44">
        <v>3</v>
      </c>
      <c r="F99"/>
      <c r="G99"/>
      <c r="H99"/>
      <c r="I99"/>
      <c r="J99" t="s">
        <v>18</v>
      </c>
      <c r="K99" s="44" t="s">
        <v>8</v>
      </c>
      <c r="L99" s="46" t="s">
        <v>158</v>
      </c>
      <c r="M99" s="107">
        <v>45440</v>
      </c>
      <c r="N99" s="111">
        <v>0</v>
      </c>
      <c r="O99" s="106" t="s">
        <v>256</v>
      </c>
      <c r="P99" s="108"/>
      <c r="Q99"/>
      <c r="R99"/>
      <c r="S99" s="111"/>
      <c r="T99" t="s">
        <v>289</v>
      </c>
      <c r="U99" s="116"/>
    </row>
    <row r="100" spans="1:21" ht="15" customHeight="1" x14ac:dyDescent="0.25">
      <c r="A100" s="46">
        <v>71</v>
      </c>
      <c r="B100" s="46">
        <v>28</v>
      </c>
      <c r="C100" s="103">
        <v>0.375</v>
      </c>
      <c r="D100" s="46" t="s">
        <v>85</v>
      </c>
      <c r="E100" s="44">
        <v>1</v>
      </c>
      <c r="F100" t="s">
        <v>145</v>
      </c>
      <c r="G100"/>
      <c r="H100"/>
      <c r="I100"/>
      <c r="J100" s="72" t="s">
        <v>15</v>
      </c>
      <c r="K100" s="44" t="s">
        <v>8</v>
      </c>
      <c r="L100" s="46"/>
      <c r="M100" s="107">
        <v>45440</v>
      </c>
      <c r="N100" s="111">
        <v>1</v>
      </c>
      <c r="O100" s="106"/>
      <c r="P100" s="108">
        <v>163</v>
      </c>
      <c r="Q100"/>
      <c r="R100"/>
      <c r="S100" s="111"/>
      <c r="T100" t="s">
        <v>289</v>
      </c>
      <c r="U100" s="116">
        <v>-1</v>
      </c>
    </row>
    <row r="101" spans="1:21" ht="15" customHeight="1" x14ac:dyDescent="0.25">
      <c r="A101" s="46">
        <v>72</v>
      </c>
      <c r="B101" s="46">
        <v>29</v>
      </c>
      <c r="C101" s="103">
        <v>0.41666666666666669</v>
      </c>
      <c r="D101" s="46" t="s">
        <v>72</v>
      </c>
      <c r="E101" s="44">
        <v>1</v>
      </c>
      <c r="F101" t="s">
        <v>170</v>
      </c>
      <c r="G101" t="s">
        <v>171</v>
      </c>
      <c r="H101"/>
      <c r="I101"/>
      <c r="J101" s="72" t="s">
        <v>15</v>
      </c>
      <c r="K101" s="44" t="s">
        <v>8</v>
      </c>
      <c r="L101" s="46"/>
      <c r="M101" s="107">
        <v>45441</v>
      </c>
      <c r="N101" s="111">
        <v>2</v>
      </c>
      <c r="O101" s="106"/>
      <c r="P101" s="108">
        <v>209</v>
      </c>
      <c r="Q101">
        <v>167</v>
      </c>
      <c r="R101"/>
      <c r="S101" s="111"/>
      <c r="T101" t="s">
        <v>289</v>
      </c>
      <c r="U101" s="116">
        <v>-1</v>
      </c>
    </row>
    <row r="102" spans="1:21" ht="15" customHeight="1" x14ac:dyDescent="0.25">
      <c r="A102" s="46">
        <v>73</v>
      </c>
      <c r="B102" s="46">
        <v>29</v>
      </c>
      <c r="C102" s="103">
        <v>0.45833333333333331</v>
      </c>
      <c r="D102" s="46" t="s">
        <v>69</v>
      </c>
      <c r="E102" s="44">
        <v>1.5</v>
      </c>
      <c r="F102" t="s">
        <v>172</v>
      </c>
      <c r="G102"/>
      <c r="H102"/>
      <c r="I102"/>
      <c r="J102" s="76" t="s">
        <v>21</v>
      </c>
      <c r="K102" s="44" t="s">
        <v>8</v>
      </c>
      <c r="L102" s="46"/>
      <c r="M102" s="107">
        <v>45441</v>
      </c>
      <c r="N102" s="111">
        <v>1</v>
      </c>
      <c r="O102" s="106"/>
      <c r="P102" s="108">
        <v>251</v>
      </c>
      <c r="Q102"/>
      <c r="R102"/>
      <c r="S102" s="111"/>
      <c r="T102" t="s">
        <v>289</v>
      </c>
      <c r="U102" s="116">
        <v>-1</v>
      </c>
    </row>
    <row r="103" spans="1:21" ht="15" customHeight="1" x14ac:dyDescent="0.25">
      <c r="A103" s="46">
        <v>74</v>
      </c>
      <c r="B103" s="46">
        <v>29</v>
      </c>
      <c r="C103" s="103">
        <v>0.58333333333333337</v>
      </c>
      <c r="D103" s="46" t="s">
        <v>19</v>
      </c>
      <c r="E103" s="44">
        <v>1</v>
      </c>
      <c r="F103" t="s">
        <v>173</v>
      </c>
      <c r="G103"/>
      <c r="H103"/>
      <c r="I103"/>
      <c r="J103" t="s">
        <v>21</v>
      </c>
      <c r="K103" s="44" t="s">
        <v>8</v>
      </c>
      <c r="L103" s="46"/>
      <c r="M103" s="107">
        <v>45441</v>
      </c>
      <c r="N103" s="111">
        <v>1</v>
      </c>
      <c r="O103" s="106" t="s">
        <v>253</v>
      </c>
      <c r="P103" s="108">
        <v>182</v>
      </c>
      <c r="Q103"/>
      <c r="R103"/>
      <c r="S103" s="111"/>
      <c r="T103" t="s">
        <v>289</v>
      </c>
      <c r="U103" s="116">
        <v>1</v>
      </c>
    </row>
    <row r="104" spans="1:21" ht="15" customHeight="1" x14ac:dyDescent="0.25">
      <c r="A104" s="46">
        <v>75</v>
      </c>
      <c r="B104" s="46">
        <v>29</v>
      </c>
      <c r="C104" s="103">
        <v>0.625</v>
      </c>
      <c r="D104" s="46" t="s">
        <v>9</v>
      </c>
      <c r="E104" s="44">
        <v>1</v>
      </c>
      <c r="F104" t="s">
        <v>174</v>
      </c>
      <c r="G104" t="s">
        <v>196</v>
      </c>
      <c r="H104"/>
      <c r="I104"/>
      <c r="J104" s="76" t="s">
        <v>21</v>
      </c>
      <c r="K104" s="44" t="s">
        <v>8</v>
      </c>
      <c r="L104" s="46"/>
      <c r="M104" s="107">
        <v>45441</v>
      </c>
      <c r="N104" s="111">
        <v>2</v>
      </c>
      <c r="O104" s="106"/>
      <c r="P104" s="108">
        <v>11</v>
      </c>
      <c r="Q104">
        <v>8</v>
      </c>
      <c r="R104"/>
      <c r="S104" s="111"/>
      <c r="T104" t="s">
        <v>289</v>
      </c>
      <c r="U104" s="116">
        <v>-1</v>
      </c>
    </row>
    <row r="105" spans="1:21" ht="15" customHeight="1" x14ac:dyDescent="0.25">
      <c r="A105" s="46">
        <v>76</v>
      </c>
      <c r="B105" s="46">
        <v>30</v>
      </c>
      <c r="C105" s="103">
        <v>0.375</v>
      </c>
      <c r="D105" s="46" t="s">
        <v>89</v>
      </c>
      <c r="E105" s="44">
        <v>1.5</v>
      </c>
      <c r="F105" t="s">
        <v>172</v>
      </c>
      <c r="G105"/>
      <c r="H105"/>
      <c r="I105"/>
      <c r="J105" s="72" t="s">
        <v>15</v>
      </c>
      <c r="K105" s="44"/>
      <c r="L105" s="46"/>
      <c r="M105" s="107">
        <v>45442</v>
      </c>
      <c r="N105" s="111">
        <v>1</v>
      </c>
      <c r="O105" s="106"/>
      <c r="P105" s="108">
        <v>251</v>
      </c>
      <c r="Q105"/>
      <c r="R105"/>
      <c r="S105" s="111"/>
      <c r="T105" t="s">
        <v>289</v>
      </c>
      <c r="U105" s="116">
        <v>-1</v>
      </c>
    </row>
    <row r="106" spans="1:21" ht="15" customHeight="1" x14ac:dyDescent="0.25">
      <c r="A106" s="46">
        <v>77</v>
      </c>
      <c r="B106" s="46">
        <v>30</v>
      </c>
      <c r="C106" s="103">
        <v>0.45833333333333331</v>
      </c>
      <c r="D106" s="46" t="s">
        <v>69</v>
      </c>
      <c r="E106" s="44">
        <v>1.5</v>
      </c>
      <c r="F106"/>
      <c r="G106"/>
      <c r="H106"/>
      <c r="I106"/>
      <c r="J106" s="76" t="s">
        <v>65</v>
      </c>
      <c r="K106" s="44"/>
      <c r="L106" s="46" t="s">
        <v>164</v>
      </c>
      <c r="M106" s="107">
        <v>45442</v>
      </c>
      <c r="N106" s="112">
        <v>0</v>
      </c>
      <c r="O106" s="106"/>
      <c r="P106" s="108"/>
      <c r="Q106"/>
      <c r="R106"/>
      <c r="S106" s="111"/>
      <c r="T106" t="s">
        <v>289</v>
      </c>
      <c r="U106" s="116">
        <v>-1</v>
      </c>
    </row>
    <row r="107" spans="1:21" ht="15" customHeight="1" x14ac:dyDescent="0.25">
      <c r="A107" s="46">
        <v>78</v>
      </c>
      <c r="B107" s="46">
        <v>30</v>
      </c>
      <c r="C107" s="103">
        <v>0.52083333333333337</v>
      </c>
      <c r="D107" s="46" t="s">
        <v>24</v>
      </c>
      <c r="E107" s="44">
        <v>1.5</v>
      </c>
      <c r="F107" t="s">
        <v>187</v>
      </c>
      <c r="G107"/>
      <c r="H107"/>
      <c r="I107"/>
      <c r="J107" s="76" t="s">
        <v>21</v>
      </c>
      <c r="K107" s="44"/>
      <c r="L107" s="46"/>
      <c r="M107" s="107">
        <v>45442</v>
      </c>
      <c r="N107" s="111">
        <v>1</v>
      </c>
      <c r="O107" s="106"/>
      <c r="P107" s="108">
        <v>52</v>
      </c>
      <c r="Q107"/>
      <c r="R107"/>
      <c r="S107" s="111"/>
      <c r="T107" t="s">
        <v>289</v>
      </c>
      <c r="U107" s="116">
        <v>-1</v>
      </c>
    </row>
    <row r="108" spans="1:21" ht="15" customHeight="1" x14ac:dyDescent="0.25">
      <c r="A108" s="46">
        <v>79</v>
      </c>
      <c r="B108" s="46">
        <v>30</v>
      </c>
      <c r="C108" s="103">
        <v>0.64583333333333337</v>
      </c>
      <c r="D108" s="46" t="s">
        <v>70</v>
      </c>
      <c r="E108" s="44">
        <v>1</v>
      </c>
      <c r="F108" t="s">
        <v>166</v>
      </c>
      <c r="G108" t="s">
        <v>167</v>
      </c>
      <c r="H108"/>
      <c r="I108"/>
      <c r="J108" s="72" t="s">
        <v>15</v>
      </c>
      <c r="K108" s="44"/>
      <c r="L108" s="46"/>
      <c r="M108" s="107">
        <v>45442</v>
      </c>
      <c r="N108" s="111">
        <v>2</v>
      </c>
      <c r="O108" s="106"/>
      <c r="P108" s="108">
        <v>185</v>
      </c>
      <c r="Q108">
        <v>58</v>
      </c>
      <c r="R108"/>
      <c r="S108" s="111"/>
      <c r="T108" t="s">
        <v>289</v>
      </c>
      <c r="U108" s="116">
        <v>-1</v>
      </c>
    </row>
    <row r="109" spans="1:21" ht="15" customHeight="1" x14ac:dyDescent="0.25">
      <c r="A109" s="46">
        <v>80</v>
      </c>
      <c r="B109" s="46">
        <v>30</v>
      </c>
      <c r="C109" s="103">
        <v>0.70833333333333337</v>
      </c>
      <c r="D109" s="46" t="s">
        <v>20</v>
      </c>
      <c r="E109" s="44">
        <v>1</v>
      </c>
      <c r="F109" t="s">
        <v>168</v>
      </c>
      <c r="G109" t="s">
        <v>169</v>
      </c>
      <c r="H109"/>
      <c r="I109"/>
      <c r="J109" s="76" t="s">
        <v>21</v>
      </c>
      <c r="K109" s="44"/>
      <c r="L109" s="46"/>
      <c r="M109" s="107">
        <v>45442</v>
      </c>
      <c r="N109" s="111">
        <v>2</v>
      </c>
      <c r="O109" s="106"/>
      <c r="P109" s="108">
        <v>83</v>
      </c>
      <c r="Q109">
        <v>70</v>
      </c>
      <c r="R109"/>
      <c r="S109" s="111"/>
      <c r="T109" t="s">
        <v>289</v>
      </c>
      <c r="U109" s="116">
        <v>-1</v>
      </c>
    </row>
    <row r="110" spans="1:21" ht="15" customHeight="1" thickBot="1" x14ac:dyDescent="0.3">
      <c r="A110" s="46">
        <v>81</v>
      </c>
      <c r="B110" s="46">
        <v>30</v>
      </c>
      <c r="C110" s="103">
        <v>0.75</v>
      </c>
      <c r="D110" s="46" t="s">
        <v>11</v>
      </c>
      <c r="E110" s="44">
        <v>1</v>
      </c>
      <c r="F110" t="s">
        <v>194</v>
      </c>
      <c r="G110"/>
      <c r="H110"/>
      <c r="I110"/>
      <c r="J110" t="s">
        <v>21</v>
      </c>
      <c r="K110" s="44"/>
      <c r="L110" s="46"/>
      <c r="M110" s="109">
        <v>45442</v>
      </c>
      <c r="N110" s="113">
        <v>1</v>
      </c>
      <c r="O110" s="106" t="s">
        <v>253</v>
      </c>
      <c r="P110" s="115">
        <v>181</v>
      </c>
      <c r="Q110" s="110"/>
      <c r="R110" s="110"/>
      <c r="S110" s="113"/>
      <c r="T110" t="s">
        <v>289</v>
      </c>
      <c r="U110" s="117">
        <v>1</v>
      </c>
    </row>
    <row r="111" spans="1:21" ht="13.5" thickTop="1" x14ac:dyDescent="0.2"/>
  </sheetData>
  <mergeCells count="5">
    <mergeCell ref="J9:K10"/>
    <mergeCell ref="D10:D12"/>
    <mergeCell ref="E10:E12"/>
    <mergeCell ref="D15:D17"/>
    <mergeCell ref="E15:E17"/>
  </mergeCells>
  <phoneticPr fontId="21" type="noConversion"/>
  <conditionalFormatting sqref="U25:U110">
    <cfRule type="cellIs" dxfId="67" priority="1" stopIfTrue="1" operator="equal">
      <formula>-1</formula>
    </cfRule>
    <cfRule type="cellIs" dxfId="66" priority="2" stopIfTrue="1" operator="equal">
      <formula>1</formula>
    </cfRule>
    <cfRule type="cellIs" dxfId="65" priority="3" stopIfTrue="1" operator="equal">
      <formula>-2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D7A7-048C-4525-802E-0B352115988E}">
  <sheetPr codeName="Hoja5"/>
  <dimension ref="A1:U111"/>
  <sheetViews>
    <sheetView tabSelected="1" topLeftCell="H42" zoomScale="94" zoomScaleNormal="100" workbookViewId="0">
      <selection activeCell="U46" sqref="U46"/>
    </sheetView>
  </sheetViews>
  <sheetFormatPr baseColWidth="10" defaultRowHeight="12.75" x14ac:dyDescent="0.2"/>
  <cols>
    <col min="1" max="4" width="5.7109375" style="17" customWidth="1"/>
    <col min="5" max="5" width="8.7109375" style="17" customWidth="1"/>
    <col min="6" max="9" width="20.7109375" style="17" customWidth="1"/>
    <col min="10" max="10" width="14.7109375" style="17" customWidth="1"/>
    <col min="11" max="11" width="16.7109375" style="17" customWidth="1"/>
    <col min="12" max="12" width="18.7109375" style="17" customWidth="1"/>
    <col min="13" max="16384" width="11.42578125" style="17"/>
  </cols>
  <sheetData>
    <row r="1" spans="1:12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2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2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ht="13.5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ABRIL</v>
      </c>
      <c r="K9" s="129"/>
      <c r="L9" s="19"/>
    </row>
    <row r="10" spans="1:12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</row>
    <row r="11" spans="1:12" ht="21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39">
        <f>SUMIF(J25:J111,"=ESCUELA",E25:E111)</f>
        <v>0</v>
      </c>
      <c r="L11" s="19"/>
    </row>
    <row r="12" spans="1:12" ht="13.5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39">
        <f>SUMIF(J25:J111,"=BONO",E25:E111)</f>
        <v>49</v>
      </c>
      <c r="L12" s="19"/>
    </row>
    <row r="13" spans="1:12" ht="21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39">
        <f>SUMIF(J25:J111,"=INFANTIL",E25:E111)</f>
        <v>0</v>
      </c>
      <c r="L13" s="19"/>
    </row>
    <row r="14" spans="1:12" ht="21.75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39">
        <f>SUMIF(J25:J111,"=CAPITANÍA",E25:E111)</f>
        <v>27</v>
      </c>
      <c r="L14" s="19"/>
    </row>
    <row r="15" spans="1:12" ht="21" x14ac:dyDescent="0.2">
      <c r="A15" s="19"/>
      <c r="B15" s="19"/>
      <c r="C15" s="19"/>
      <c r="D15" s="138" t="s">
        <v>2</v>
      </c>
      <c r="E15" s="135" t="s">
        <v>71</v>
      </c>
      <c r="F15" s="19"/>
      <c r="G15" s="19"/>
      <c r="H15" s="19"/>
      <c r="I15" s="19"/>
      <c r="J15" s="20" t="s">
        <v>127</v>
      </c>
      <c r="K15" s="39">
        <f>SUMIF(J25:J111,"=PARTICULAR",E25:E111)</f>
        <v>10</v>
      </c>
      <c r="L15" s="19"/>
    </row>
    <row r="16" spans="1:12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39">
        <f>SUMIF(J25:J111,"=TORNEO",E25:E111)</f>
        <v>0</v>
      </c>
      <c r="L16" s="19"/>
    </row>
    <row r="17" spans="1:21" ht="21.75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39">
        <f>SUMIF(J25:J111,"=COMPETICIÓN",E25:E111)</f>
        <v>16.5</v>
      </c>
      <c r="L17" s="16"/>
    </row>
    <row r="18" spans="1:21" ht="2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39">
        <f>SUMIF(J25:J111,"=CLASE-PARTIDO",E25:E111)</f>
        <v>1.5</v>
      </c>
      <c r="L18" s="16"/>
    </row>
    <row r="19" spans="1:21" x14ac:dyDescent="0.2">
      <c r="C19" s="16"/>
      <c r="F19" s="16"/>
      <c r="G19" s="16"/>
      <c r="H19" s="16"/>
      <c r="I19" s="16"/>
      <c r="J19" s="23"/>
      <c r="K19" s="40">
        <f>SUM(K11:K18)</f>
        <v>104</v>
      </c>
      <c r="L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2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2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21" ht="13.5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21" ht="15" customHeight="1" thickBot="1" x14ac:dyDescent="0.25">
      <c r="A24" s="49" t="s">
        <v>155</v>
      </c>
      <c r="B24" s="42" t="s">
        <v>156</v>
      </c>
      <c r="C24" s="94" t="s">
        <v>132</v>
      </c>
      <c r="D24" s="50" t="s">
        <v>133</v>
      </c>
      <c r="E24" s="51" t="s">
        <v>157</v>
      </c>
      <c r="F24" s="42" t="s">
        <v>134</v>
      </c>
      <c r="G24" s="42" t="s">
        <v>135</v>
      </c>
      <c r="H24" s="42" t="s">
        <v>136</v>
      </c>
      <c r="I24" s="42" t="s">
        <v>137</v>
      </c>
      <c r="J24" s="42" t="s">
        <v>3</v>
      </c>
      <c r="K24" s="42" t="s">
        <v>4</v>
      </c>
      <c r="L24" s="45" t="s">
        <v>138</v>
      </c>
      <c r="M24" s="90" t="s">
        <v>246</v>
      </c>
      <c r="N24" s="90" t="s">
        <v>290</v>
      </c>
      <c r="O24" s="91" t="s">
        <v>247</v>
      </c>
      <c r="P24" s="90" t="s">
        <v>248</v>
      </c>
      <c r="Q24" s="90" t="s">
        <v>249</v>
      </c>
      <c r="R24" s="90" t="s">
        <v>250</v>
      </c>
      <c r="S24" s="90" t="s">
        <v>251</v>
      </c>
      <c r="T24" s="47" t="s">
        <v>288</v>
      </c>
      <c r="U24" s="47" t="s">
        <v>252</v>
      </c>
    </row>
    <row r="25" spans="1:21" ht="15" customHeight="1" x14ac:dyDescent="0.25">
      <c r="A25" s="43">
        <v>1</v>
      </c>
      <c r="B25" s="43">
        <v>1</v>
      </c>
      <c r="C25" s="98">
        <v>0.33333333333333331</v>
      </c>
      <c r="D25" s="43" t="s">
        <v>79</v>
      </c>
      <c r="E25" s="44">
        <v>1</v>
      </c>
      <c r="F25" t="s">
        <v>183</v>
      </c>
      <c r="G25"/>
      <c r="H25"/>
      <c r="I25"/>
      <c r="J25" s="72" t="s">
        <v>15</v>
      </c>
      <c r="K25" s="44" t="s">
        <v>8</v>
      </c>
      <c r="L25" s="46"/>
      <c r="M25" s="48">
        <v>45383</v>
      </c>
      <c r="N25">
        <v>1</v>
      </c>
      <c r="O25"/>
      <c r="P25">
        <v>121</v>
      </c>
      <c r="Q25"/>
      <c r="R25"/>
      <c r="S25"/>
      <c r="T25" t="s">
        <v>289</v>
      </c>
      <c r="U25">
        <v>-1</v>
      </c>
    </row>
    <row r="26" spans="1:21" ht="15" customHeight="1" x14ac:dyDescent="0.25">
      <c r="A26" s="43">
        <v>2</v>
      </c>
      <c r="B26" s="43">
        <v>1</v>
      </c>
      <c r="C26" s="98">
        <v>0.41666666666666669</v>
      </c>
      <c r="D26" s="43" t="s">
        <v>93</v>
      </c>
      <c r="E26" s="44">
        <v>1.5</v>
      </c>
      <c r="F26"/>
      <c r="G26"/>
      <c r="H26"/>
      <c r="I26"/>
      <c r="J26" s="76" t="s">
        <v>65</v>
      </c>
      <c r="K26" s="44" t="s">
        <v>8</v>
      </c>
      <c r="L26" s="46" t="s">
        <v>158</v>
      </c>
      <c r="M26" s="48">
        <v>45383</v>
      </c>
      <c r="N26" s="76">
        <v>0</v>
      </c>
      <c r="O26"/>
      <c r="P26"/>
      <c r="Q26"/>
      <c r="R26"/>
      <c r="S26"/>
      <c r="T26" t="s">
        <v>289</v>
      </c>
      <c r="U26">
        <v>-1</v>
      </c>
    </row>
    <row r="27" spans="1:21" ht="15" customHeight="1" x14ac:dyDescent="0.25">
      <c r="A27" s="43">
        <v>3</v>
      </c>
      <c r="B27" s="43">
        <v>2</v>
      </c>
      <c r="C27" s="98">
        <v>0.4375</v>
      </c>
      <c r="D27" s="43" t="s">
        <v>93</v>
      </c>
      <c r="E27" s="44">
        <v>1</v>
      </c>
      <c r="F27" t="s">
        <v>161</v>
      </c>
      <c r="G27" t="s">
        <v>162</v>
      </c>
      <c r="H27" t="s">
        <v>160</v>
      </c>
      <c r="I27"/>
      <c r="J27" s="72" t="s">
        <v>15</v>
      </c>
      <c r="K27" s="44" t="s">
        <v>8</v>
      </c>
      <c r="L27" s="46"/>
      <c r="M27" s="48">
        <v>45384</v>
      </c>
      <c r="N27">
        <v>3</v>
      </c>
      <c r="O27"/>
      <c r="P27">
        <v>201</v>
      </c>
      <c r="Q27">
        <v>195</v>
      </c>
      <c r="R27">
        <v>47</v>
      </c>
      <c r="S27"/>
      <c r="T27" t="s">
        <v>289</v>
      </c>
      <c r="U27">
        <v>-1</v>
      </c>
    </row>
    <row r="28" spans="1:21" ht="15" customHeight="1" x14ac:dyDescent="0.25">
      <c r="A28" s="43">
        <v>4</v>
      </c>
      <c r="B28" s="43">
        <v>2</v>
      </c>
      <c r="C28" s="98">
        <v>0.64583333333333337</v>
      </c>
      <c r="D28" s="43" t="s">
        <v>10</v>
      </c>
      <c r="E28" s="44">
        <v>1.5</v>
      </c>
      <c r="F28" t="s">
        <v>163</v>
      </c>
      <c r="G28" t="s">
        <v>197</v>
      </c>
      <c r="H28" t="s">
        <v>198</v>
      </c>
      <c r="I28"/>
      <c r="J28" t="s">
        <v>96</v>
      </c>
      <c r="K28" s="44" t="s">
        <v>8</v>
      </c>
      <c r="L28" s="46"/>
      <c r="M28" s="48">
        <v>45384</v>
      </c>
      <c r="N28">
        <v>3</v>
      </c>
      <c r="O28" t="s">
        <v>261</v>
      </c>
      <c r="P28">
        <v>38</v>
      </c>
      <c r="Q28">
        <v>129</v>
      </c>
      <c r="R28">
        <v>115</v>
      </c>
      <c r="S28"/>
      <c r="T28" t="s">
        <v>289</v>
      </c>
      <c r="U28">
        <v>1</v>
      </c>
    </row>
    <row r="29" spans="1:21" ht="15" customHeight="1" x14ac:dyDescent="0.25">
      <c r="A29" s="43">
        <v>5</v>
      </c>
      <c r="B29" s="43">
        <v>3</v>
      </c>
      <c r="C29" s="98">
        <v>0.375</v>
      </c>
      <c r="D29" s="43" t="s">
        <v>85</v>
      </c>
      <c r="E29" s="44">
        <v>1</v>
      </c>
      <c r="F29" t="s">
        <v>145</v>
      </c>
      <c r="G29"/>
      <c r="H29"/>
      <c r="I29"/>
      <c r="J29" s="72" t="s">
        <v>15</v>
      </c>
      <c r="K29" s="44" t="s">
        <v>8</v>
      </c>
      <c r="L29" s="46"/>
      <c r="M29" s="48">
        <v>45385</v>
      </c>
      <c r="N29">
        <v>1</v>
      </c>
      <c r="O29"/>
      <c r="P29">
        <v>163</v>
      </c>
      <c r="Q29"/>
      <c r="R29"/>
      <c r="S29"/>
      <c r="T29" t="s">
        <v>289</v>
      </c>
      <c r="U29">
        <v>-1</v>
      </c>
    </row>
    <row r="30" spans="1:21" ht="15" customHeight="1" x14ac:dyDescent="0.25">
      <c r="A30" s="43">
        <v>6</v>
      </c>
      <c r="B30" s="43">
        <v>3</v>
      </c>
      <c r="C30" s="98">
        <v>0.41666666666666669</v>
      </c>
      <c r="D30" s="43" t="s">
        <v>72</v>
      </c>
      <c r="E30" s="44">
        <v>1</v>
      </c>
      <c r="F30" t="s">
        <v>170</v>
      </c>
      <c r="G30" t="s">
        <v>171</v>
      </c>
      <c r="H30"/>
      <c r="I30"/>
      <c r="J30" s="72" t="s">
        <v>15</v>
      </c>
      <c r="K30" s="44" t="s">
        <v>8</v>
      </c>
      <c r="L30" s="46"/>
      <c r="M30" s="48">
        <v>45385</v>
      </c>
      <c r="N30">
        <v>2</v>
      </c>
      <c r="O30"/>
      <c r="P30">
        <v>209</v>
      </c>
      <c r="Q30">
        <v>167</v>
      </c>
      <c r="R30"/>
      <c r="S30"/>
      <c r="T30" t="s">
        <v>289</v>
      </c>
      <c r="U30">
        <v>-1</v>
      </c>
    </row>
    <row r="31" spans="1:21" ht="15" customHeight="1" x14ac:dyDescent="0.25">
      <c r="A31" s="43">
        <v>7</v>
      </c>
      <c r="B31" s="43">
        <v>3</v>
      </c>
      <c r="C31" s="98">
        <v>0.54166666666666663</v>
      </c>
      <c r="D31" s="43" t="s">
        <v>25</v>
      </c>
      <c r="E31" s="44">
        <v>1</v>
      </c>
      <c r="F31" t="s">
        <v>199</v>
      </c>
      <c r="G31" t="s">
        <v>200</v>
      </c>
      <c r="H31"/>
      <c r="I31"/>
      <c r="J31" s="72" t="s">
        <v>15</v>
      </c>
      <c r="K31" s="44" t="s">
        <v>8</v>
      </c>
      <c r="L31" s="46"/>
      <c r="M31" s="48">
        <v>45385</v>
      </c>
      <c r="N31">
        <v>2</v>
      </c>
      <c r="O31"/>
      <c r="P31">
        <v>55</v>
      </c>
      <c r="Q31">
        <v>239</v>
      </c>
      <c r="R31"/>
      <c r="S31"/>
      <c r="T31" t="s">
        <v>289</v>
      </c>
      <c r="U31">
        <v>-1</v>
      </c>
    </row>
    <row r="32" spans="1:21" ht="15" customHeight="1" x14ac:dyDescent="0.25">
      <c r="A32" s="43">
        <v>8</v>
      </c>
      <c r="B32" s="43">
        <v>4</v>
      </c>
      <c r="C32" s="98">
        <v>0.41666666666666669</v>
      </c>
      <c r="D32" s="43" t="s">
        <v>72</v>
      </c>
      <c r="E32" s="44">
        <v>1</v>
      </c>
      <c r="F32" t="s">
        <v>163</v>
      </c>
      <c r="G32"/>
      <c r="H32"/>
      <c r="I32"/>
      <c r="J32" s="72" t="s">
        <v>15</v>
      </c>
      <c r="K32" s="44" t="s">
        <v>8</v>
      </c>
      <c r="L32" s="46"/>
      <c r="M32" s="48">
        <v>45386</v>
      </c>
      <c r="N32">
        <v>1</v>
      </c>
      <c r="O32"/>
      <c r="P32">
        <v>38</v>
      </c>
      <c r="Q32"/>
      <c r="R32"/>
      <c r="S32"/>
      <c r="T32" t="s">
        <v>289</v>
      </c>
      <c r="U32">
        <v>-1</v>
      </c>
    </row>
    <row r="33" spans="1:21" ht="15" customHeight="1" x14ac:dyDescent="0.25">
      <c r="A33" s="43">
        <v>9</v>
      </c>
      <c r="B33" s="43">
        <v>4</v>
      </c>
      <c r="C33" s="98">
        <v>0.45833333333333331</v>
      </c>
      <c r="D33" s="43" t="s">
        <v>69</v>
      </c>
      <c r="E33" s="44">
        <v>1.5</v>
      </c>
      <c r="F33"/>
      <c r="G33"/>
      <c r="H33"/>
      <c r="I33"/>
      <c r="J33" s="76" t="s">
        <v>65</v>
      </c>
      <c r="K33" s="44" t="s">
        <v>8</v>
      </c>
      <c r="L33" s="46" t="s">
        <v>164</v>
      </c>
      <c r="M33" s="48">
        <v>45386</v>
      </c>
      <c r="N33" s="76">
        <v>0</v>
      </c>
      <c r="O33"/>
      <c r="P33"/>
      <c r="Q33"/>
      <c r="R33"/>
      <c r="S33"/>
      <c r="T33" t="s">
        <v>289</v>
      </c>
      <c r="U33">
        <v>-1</v>
      </c>
    </row>
    <row r="34" spans="1:21" ht="15" customHeight="1" x14ac:dyDescent="0.25">
      <c r="A34" s="43">
        <v>10</v>
      </c>
      <c r="B34" s="43">
        <v>4</v>
      </c>
      <c r="C34" s="98">
        <v>0.58333333333333337</v>
      </c>
      <c r="D34" s="43" t="s">
        <v>19</v>
      </c>
      <c r="E34" s="44">
        <v>1</v>
      </c>
      <c r="F34" t="s">
        <v>144</v>
      </c>
      <c r="G34"/>
      <c r="H34"/>
      <c r="I34"/>
      <c r="J34" s="72" t="s">
        <v>15</v>
      </c>
      <c r="K34" s="44" t="s">
        <v>8</v>
      </c>
      <c r="L34" s="46"/>
      <c r="M34" s="48">
        <v>45386</v>
      </c>
      <c r="N34">
        <v>1</v>
      </c>
      <c r="O34"/>
      <c r="P34">
        <v>81</v>
      </c>
      <c r="Q34"/>
      <c r="R34"/>
      <c r="S34"/>
      <c r="T34" t="s">
        <v>289</v>
      </c>
      <c r="U34">
        <v>-1</v>
      </c>
    </row>
    <row r="35" spans="1:21" ht="15" customHeight="1" x14ac:dyDescent="0.25">
      <c r="A35" s="43">
        <v>11</v>
      </c>
      <c r="B35" s="43">
        <v>7</v>
      </c>
      <c r="C35" s="98">
        <v>0.52083333333333337</v>
      </c>
      <c r="D35" s="43" t="s">
        <v>26</v>
      </c>
      <c r="E35" s="44">
        <v>3</v>
      </c>
      <c r="F35"/>
      <c r="G35"/>
      <c r="H35"/>
      <c r="I35"/>
      <c r="J35" t="s">
        <v>18</v>
      </c>
      <c r="K35" s="44" t="s">
        <v>8</v>
      </c>
      <c r="L35" s="46" t="s">
        <v>201</v>
      </c>
      <c r="M35" s="48">
        <v>45389</v>
      </c>
      <c r="N35">
        <v>0</v>
      </c>
      <c r="O35" t="s">
        <v>256</v>
      </c>
      <c r="P35"/>
      <c r="Q35"/>
      <c r="R35"/>
      <c r="S35"/>
      <c r="T35" t="s">
        <v>289</v>
      </c>
      <c r="U35"/>
    </row>
    <row r="36" spans="1:21" ht="15" customHeight="1" x14ac:dyDescent="0.25">
      <c r="A36" s="43">
        <v>12</v>
      </c>
      <c r="B36" s="43">
        <v>8</v>
      </c>
      <c r="C36" s="98">
        <v>0.33333333333333331</v>
      </c>
      <c r="D36" s="43" t="s">
        <v>79</v>
      </c>
      <c r="E36" s="44">
        <v>1</v>
      </c>
      <c r="F36" t="s">
        <v>183</v>
      </c>
      <c r="G36"/>
      <c r="H36"/>
      <c r="I36"/>
      <c r="J36" s="72" t="s">
        <v>15</v>
      </c>
      <c r="K36" s="44" t="s">
        <v>8</v>
      </c>
      <c r="L36" s="46"/>
      <c r="M36" s="48">
        <v>45390</v>
      </c>
      <c r="N36">
        <v>1</v>
      </c>
      <c r="O36"/>
      <c r="P36">
        <v>121</v>
      </c>
      <c r="Q36"/>
      <c r="R36"/>
      <c r="S36"/>
      <c r="T36" t="s">
        <v>289</v>
      </c>
      <c r="U36">
        <v>-1</v>
      </c>
    </row>
    <row r="37" spans="1:21" ht="15" customHeight="1" x14ac:dyDescent="0.25">
      <c r="A37" s="43">
        <v>13</v>
      </c>
      <c r="B37" s="43">
        <v>8</v>
      </c>
      <c r="C37" s="98">
        <v>0.375</v>
      </c>
      <c r="D37" s="43" t="s">
        <v>85</v>
      </c>
      <c r="E37" s="44">
        <v>1</v>
      </c>
      <c r="F37" t="s">
        <v>145</v>
      </c>
      <c r="G37"/>
      <c r="H37"/>
      <c r="I37"/>
      <c r="J37" s="72" t="s">
        <v>15</v>
      </c>
      <c r="K37" s="44" t="s">
        <v>8</v>
      </c>
      <c r="L37" s="46"/>
      <c r="M37" s="48">
        <v>45390</v>
      </c>
      <c r="N37">
        <v>1</v>
      </c>
      <c r="O37"/>
      <c r="P37">
        <v>163</v>
      </c>
      <c r="Q37"/>
      <c r="R37"/>
      <c r="S37"/>
      <c r="T37" t="s">
        <v>289</v>
      </c>
      <c r="U37">
        <v>-1</v>
      </c>
    </row>
    <row r="38" spans="1:21" ht="15" customHeight="1" x14ac:dyDescent="0.25">
      <c r="A38" s="43">
        <v>14</v>
      </c>
      <c r="B38" s="43">
        <v>8</v>
      </c>
      <c r="C38" s="98">
        <v>0.41666666666666669</v>
      </c>
      <c r="D38" s="43" t="s">
        <v>93</v>
      </c>
      <c r="E38" s="44">
        <v>1.5</v>
      </c>
      <c r="F38"/>
      <c r="G38"/>
      <c r="H38"/>
      <c r="I38"/>
      <c r="J38" s="76" t="s">
        <v>65</v>
      </c>
      <c r="K38" s="44" t="s">
        <v>8</v>
      </c>
      <c r="L38" s="46"/>
      <c r="M38" s="48">
        <v>45390</v>
      </c>
      <c r="N38" s="76">
        <v>0</v>
      </c>
      <c r="O38"/>
      <c r="P38"/>
      <c r="Q38"/>
      <c r="R38"/>
      <c r="S38"/>
      <c r="T38" t="s">
        <v>289</v>
      </c>
      <c r="U38">
        <v>-1</v>
      </c>
    </row>
    <row r="39" spans="1:21" ht="15" customHeight="1" x14ac:dyDescent="0.25">
      <c r="A39" s="43">
        <v>15</v>
      </c>
      <c r="B39" s="43">
        <v>8</v>
      </c>
      <c r="C39" s="98">
        <v>0.47916666666666669</v>
      </c>
      <c r="D39" s="43" t="s">
        <v>69</v>
      </c>
      <c r="E39" s="44">
        <v>1</v>
      </c>
      <c r="F39" t="s">
        <v>159</v>
      </c>
      <c r="G39"/>
      <c r="H39"/>
      <c r="I39"/>
      <c r="J39" s="72" t="s">
        <v>15</v>
      </c>
      <c r="K39" s="44" t="s">
        <v>8</v>
      </c>
      <c r="L39" s="46"/>
      <c r="M39" s="48">
        <v>45390</v>
      </c>
      <c r="N39">
        <v>1</v>
      </c>
      <c r="O39"/>
      <c r="P39">
        <v>34</v>
      </c>
      <c r="Q39"/>
      <c r="R39"/>
      <c r="S39"/>
      <c r="T39" t="s">
        <v>289</v>
      </c>
      <c r="U39">
        <v>-1</v>
      </c>
    </row>
    <row r="40" spans="1:21" ht="15" customHeight="1" x14ac:dyDescent="0.25">
      <c r="A40" s="43">
        <v>16</v>
      </c>
      <c r="B40" s="43">
        <v>8</v>
      </c>
      <c r="C40" s="98">
        <v>0.66666666666666663</v>
      </c>
      <c r="D40" s="43" t="s">
        <v>10</v>
      </c>
      <c r="E40" s="44">
        <v>1</v>
      </c>
      <c r="F40" t="s">
        <v>202</v>
      </c>
      <c r="G40"/>
      <c r="H40"/>
      <c r="I40"/>
      <c r="J40" t="s">
        <v>21</v>
      </c>
      <c r="K40" s="44" t="s">
        <v>8</v>
      </c>
      <c r="L40" s="46"/>
      <c r="M40" s="48">
        <v>45390</v>
      </c>
      <c r="N40">
        <v>1</v>
      </c>
      <c r="O40" t="s">
        <v>253</v>
      </c>
      <c r="P40">
        <v>80</v>
      </c>
      <c r="Q40"/>
      <c r="R40"/>
      <c r="S40"/>
      <c r="T40" t="s">
        <v>289</v>
      </c>
      <c r="U40">
        <v>1</v>
      </c>
    </row>
    <row r="41" spans="1:21" ht="15" customHeight="1" x14ac:dyDescent="0.25">
      <c r="A41" s="43">
        <v>17</v>
      </c>
      <c r="B41" s="43">
        <v>9</v>
      </c>
      <c r="C41" s="98">
        <v>0.4375</v>
      </c>
      <c r="D41" s="43" t="s">
        <v>93</v>
      </c>
      <c r="E41" s="44">
        <v>1</v>
      </c>
      <c r="F41" t="s">
        <v>160</v>
      </c>
      <c r="G41" t="s">
        <v>161</v>
      </c>
      <c r="H41" t="s">
        <v>162</v>
      </c>
      <c r="I41"/>
      <c r="J41" s="72" t="s">
        <v>15</v>
      </c>
      <c r="K41" s="44" t="s">
        <v>8</v>
      </c>
      <c r="L41" s="46"/>
      <c r="M41" s="48">
        <v>45391</v>
      </c>
      <c r="N41">
        <v>3</v>
      </c>
      <c r="O41"/>
      <c r="P41">
        <v>47</v>
      </c>
      <c r="Q41">
        <v>201</v>
      </c>
      <c r="R41">
        <v>195</v>
      </c>
      <c r="S41"/>
      <c r="T41" t="s">
        <v>289</v>
      </c>
      <c r="U41">
        <v>-1</v>
      </c>
    </row>
    <row r="42" spans="1:21" ht="15" customHeight="1" x14ac:dyDescent="0.25">
      <c r="A42" s="43">
        <v>18</v>
      </c>
      <c r="B42" s="43">
        <v>9</v>
      </c>
      <c r="C42" s="98">
        <v>0.47916666666666669</v>
      </c>
      <c r="D42" s="43" t="s">
        <v>69</v>
      </c>
      <c r="E42" s="44">
        <v>1</v>
      </c>
      <c r="F42" t="s">
        <v>190</v>
      </c>
      <c r="G42"/>
      <c r="H42"/>
      <c r="I42"/>
      <c r="J42" t="s">
        <v>21</v>
      </c>
      <c r="K42" s="44" t="s">
        <v>8</v>
      </c>
      <c r="L42" s="46"/>
      <c r="M42" s="48">
        <v>45391</v>
      </c>
      <c r="N42">
        <v>1</v>
      </c>
      <c r="O42" t="s">
        <v>253</v>
      </c>
      <c r="P42">
        <v>174</v>
      </c>
      <c r="Q42"/>
      <c r="R42"/>
      <c r="S42"/>
      <c r="T42" t="s">
        <v>289</v>
      </c>
      <c r="U42">
        <v>1</v>
      </c>
    </row>
    <row r="43" spans="1:21" ht="15" customHeight="1" x14ac:dyDescent="0.25">
      <c r="A43" s="43">
        <v>19</v>
      </c>
      <c r="B43" s="43">
        <v>9</v>
      </c>
      <c r="C43" s="98">
        <v>0.52083333333333337</v>
      </c>
      <c r="D43" s="43" t="s">
        <v>14</v>
      </c>
      <c r="E43" s="44">
        <v>1</v>
      </c>
      <c r="F43" t="s">
        <v>144</v>
      </c>
      <c r="G43"/>
      <c r="H43"/>
      <c r="I43"/>
      <c r="J43" t="s">
        <v>258</v>
      </c>
      <c r="K43" s="44" t="s">
        <v>8</v>
      </c>
      <c r="L43" s="46"/>
      <c r="M43" s="48">
        <v>45391</v>
      </c>
      <c r="N43">
        <v>1</v>
      </c>
      <c r="O43" t="s">
        <v>287</v>
      </c>
      <c r="P43">
        <v>81</v>
      </c>
      <c r="Q43"/>
      <c r="R43"/>
      <c r="S43"/>
      <c r="T43" t="s">
        <v>289</v>
      </c>
      <c r="U43">
        <v>1</v>
      </c>
    </row>
    <row r="44" spans="1:21" ht="15" customHeight="1" x14ac:dyDescent="0.25">
      <c r="A44" s="43">
        <v>20</v>
      </c>
      <c r="B44" s="43">
        <v>9</v>
      </c>
      <c r="C44" s="98">
        <v>0.58333333333333337</v>
      </c>
      <c r="D44" s="43" t="s">
        <v>19</v>
      </c>
      <c r="E44" s="44">
        <v>1</v>
      </c>
      <c r="F44" t="s">
        <v>165</v>
      </c>
      <c r="G44"/>
      <c r="H44"/>
      <c r="I44"/>
      <c r="J44" t="s">
        <v>21</v>
      </c>
      <c r="K44" s="44" t="s">
        <v>8</v>
      </c>
      <c r="L44" s="46"/>
      <c r="M44" s="48">
        <v>45391</v>
      </c>
      <c r="N44">
        <v>1</v>
      </c>
      <c r="O44" t="s">
        <v>253</v>
      </c>
      <c r="P44">
        <v>119</v>
      </c>
      <c r="Q44"/>
      <c r="R44"/>
      <c r="S44"/>
      <c r="T44" t="s">
        <v>289</v>
      </c>
      <c r="U44">
        <v>1</v>
      </c>
    </row>
    <row r="45" spans="1:21" ht="15" customHeight="1" x14ac:dyDescent="0.25">
      <c r="A45" s="101">
        <v>21</v>
      </c>
      <c r="B45" s="101">
        <v>9</v>
      </c>
      <c r="C45" s="102">
        <v>0.64583333333333337</v>
      </c>
      <c r="D45" s="101" t="s">
        <v>10</v>
      </c>
      <c r="E45" s="88">
        <v>1.5</v>
      </c>
      <c r="F45" s="76" t="s">
        <v>295</v>
      </c>
      <c r="G45"/>
      <c r="H45"/>
      <c r="I45"/>
      <c r="J45" s="76" t="s">
        <v>277</v>
      </c>
      <c r="K45" s="88" t="s">
        <v>8</v>
      </c>
      <c r="L45" s="87" t="s">
        <v>158</v>
      </c>
      <c r="M45"/>
      <c r="N45">
        <v>1</v>
      </c>
      <c r="O45"/>
      <c r="P45"/>
      <c r="Q45"/>
      <c r="R45"/>
      <c r="S45"/>
      <c r="T45" t="s">
        <v>289</v>
      </c>
      <c r="U45">
        <v>-1</v>
      </c>
    </row>
    <row r="46" spans="1:21" ht="15" customHeight="1" x14ac:dyDescent="0.25">
      <c r="A46" s="99" t="s">
        <v>294</v>
      </c>
      <c r="B46" s="99">
        <v>9</v>
      </c>
      <c r="C46" s="100">
        <v>0.64583333333333337</v>
      </c>
      <c r="D46" s="99" t="s">
        <v>10</v>
      </c>
      <c r="E46" s="57">
        <v>1.5</v>
      </c>
      <c r="F46" t="s">
        <v>187</v>
      </c>
      <c r="G46"/>
      <c r="H46"/>
      <c r="I46"/>
      <c r="J46" t="s">
        <v>275</v>
      </c>
      <c r="K46" s="57" t="s">
        <v>8</v>
      </c>
      <c r="L46" s="56" t="s">
        <v>158</v>
      </c>
      <c r="M46" s="48">
        <v>45391</v>
      </c>
      <c r="N46">
        <v>1</v>
      </c>
      <c r="O46" t="s">
        <v>293</v>
      </c>
      <c r="P46">
        <v>52</v>
      </c>
      <c r="Q46"/>
      <c r="R46"/>
      <c r="S46"/>
      <c r="T46" t="s">
        <v>289</v>
      </c>
      <c r="U46">
        <v>1</v>
      </c>
    </row>
    <row r="47" spans="1:21" ht="15" customHeight="1" x14ac:dyDescent="0.25">
      <c r="A47" s="99" t="s">
        <v>294</v>
      </c>
      <c r="B47" s="99">
        <v>9</v>
      </c>
      <c r="C47" s="100">
        <v>0.64583333333333337</v>
      </c>
      <c r="D47" s="99" t="s">
        <v>10</v>
      </c>
      <c r="E47" s="57">
        <v>1.5</v>
      </c>
      <c r="F47" t="s">
        <v>180</v>
      </c>
      <c r="G47"/>
      <c r="H47"/>
      <c r="I47"/>
      <c r="J47" t="s">
        <v>275</v>
      </c>
      <c r="K47" s="57" t="s">
        <v>8</v>
      </c>
      <c r="L47" s="56" t="s">
        <v>158</v>
      </c>
      <c r="M47" s="48">
        <v>45391</v>
      </c>
      <c r="N47">
        <v>1</v>
      </c>
      <c r="O47" t="s">
        <v>293</v>
      </c>
      <c r="P47">
        <v>53</v>
      </c>
      <c r="Q47"/>
      <c r="R47"/>
      <c r="S47"/>
      <c r="T47" t="s">
        <v>289</v>
      </c>
      <c r="U47">
        <v>1</v>
      </c>
    </row>
    <row r="48" spans="1:21" ht="15" customHeight="1" x14ac:dyDescent="0.25">
      <c r="A48" s="99" t="s">
        <v>294</v>
      </c>
      <c r="B48" s="99">
        <v>9</v>
      </c>
      <c r="C48" s="100">
        <v>0.64583333333333337</v>
      </c>
      <c r="D48" s="99" t="s">
        <v>10</v>
      </c>
      <c r="E48" s="57">
        <v>1.5</v>
      </c>
      <c r="F48" t="s">
        <v>267</v>
      </c>
      <c r="G48"/>
      <c r="H48"/>
      <c r="I48"/>
      <c r="J48" s="76" t="s">
        <v>272</v>
      </c>
      <c r="K48" s="57" t="s">
        <v>8</v>
      </c>
      <c r="L48" s="56" t="s">
        <v>158</v>
      </c>
      <c r="M48" s="48">
        <v>45391</v>
      </c>
      <c r="N48">
        <v>1</v>
      </c>
      <c r="O48"/>
      <c r="P48">
        <v>54</v>
      </c>
      <c r="Q48"/>
      <c r="R48"/>
      <c r="S48"/>
      <c r="T48" t="s">
        <v>289</v>
      </c>
      <c r="U48">
        <v>-1</v>
      </c>
    </row>
    <row r="49" spans="1:21" ht="15" customHeight="1" x14ac:dyDescent="0.25">
      <c r="A49" s="99" t="s">
        <v>294</v>
      </c>
      <c r="B49" s="99">
        <v>9</v>
      </c>
      <c r="C49" s="100">
        <v>0.64583333333333337</v>
      </c>
      <c r="D49" s="99" t="s">
        <v>10</v>
      </c>
      <c r="E49" s="57">
        <v>1.5</v>
      </c>
      <c r="F49" t="s">
        <v>199</v>
      </c>
      <c r="G49"/>
      <c r="H49"/>
      <c r="I49"/>
      <c r="J49" s="76" t="s">
        <v>272</v>
      </c>
      <c r="K49" s="57" t="s">
        <v>8</v>
      </c>
      <c r="L49" s="56" t="s">
        <v>158</v>
      </c>
      <c r="M49" s="48">
        <v>45391</v>
      </c>
      <c r="N49">
        <v>1</v>
      </c>
      <c r="O49"/>
      <c r="P49">
        <v>55</v>
      </c>
      <c r="Q49"/>
      <c r="R49"/>
      <c r="S49"/>
      <c r="T49" t="s">
        <v>289</v>
      </c>
      <c r="U49">
        <v>-1</v>
      </c>
    </row>
    <row r="50" spans="1:21" ht="15" customHeight="1" x14ac:dyDescent="0.25">
      <c r="A50" s="99" t="s">
        <v>294</v>
      </c>
      <c r="B50" s="99">
        <v>9</v>
      </c>
      <c r="C50" s="100">
        <v>0.64583333333333337</v>
      </c>
      <c r="D50" s="99" t="s">
        <v>10</v>
      </c>
      <c r="E50" s="57">
        <v>1.5</v>
      </c>
      <c r="F50" t="s">
        <v>268</v>
      </c>
      <c r="G50"/>
      <c r="H50"/>
      <c r="I50"/>
      <c r="J50" s="76" t="s">
        <v>272</v>
      </c>
      <c r="K50" s="57" t="s">
        <v>8</v>
      </c>
      <c r="L50" s="56" t="s">
        <v>158</v>
      </c>
      <c r="M50" s="48">
        <v>45391</v>
      </c>
      <c r="N50">
        <v>1</v>
      </c>
      <c r="O50"/>
      <c r="P50">
        <v>56</v>
      </c>
      <c r="Q50"/>
      <c r="R50"/>
      <c r="S50"/>
      <c r="T50" t="s">
        <v>289</v>
      </c>
      <c r="U50">
        <v>-1</v>
      </c>
    </row>
    <row r="51" spans="1:21" ht="15" customHeight="1" x14ac:dyDescent="0.25">
      <c r="A51" s="99" t="s">
        <v>294</v>
      </c>
      <c r="B51" s="99">
        <v>9</v>
      </c>
      <c r="C51" s="100">
        <v>0.64583333333333337</v>
      </c>
      <c r="D51" s="99" t="s">
        <v>10</v>
      </c>
      <c r="E51" s="57">
        <v>1.5</v>
      </c>
      <c r="F51" t="s">
        <v>269</v>
      </c>
      <c r="G51"/>
      <c r="H51"/>
      <c r="I51"/>
      <c r="J51" s="76" t="s">
        <v>272</v>
      </c>
      <c r="K51" s="57" t="s">
        <v>8</v>
      </c>
      <c r="L51" s="56" t="s">
        <v>158</v>
      </c>
      <c r="M51" s="48">
        <v>45391</v>
      </c>
      <c r="N51">
        <v>1</v>
      </c>
      <c r="O51"/>
      <c r="P51">
        <v>93</v>
      </c>
      <c r="Q51"/>
      <c r="R51"/>
      <c r="S51"/>
      <c r="T51" t="s">
        <v>289</v>
      </c>
      <c r="U51">
        <v>-1</v>
      </c>
    </row>
    <row r="52" spans="1:21" ht="15" customHeight="1" x14ac:dyDescent="0.25">
      <c r="A52" s="43">
        <v>22</v>
      </c>
      <c r="B52" s="43">
        <v>9</v>
      </c>
      <c r="C52" s="98">
        <v>0.70833333333333337</v>
      </c>
      <c r="D52" s="43" t="s">
        <v>20</v>
      </c>
      <c r="E52" s="44">
        <v>1</v>
      </c>
      <c r="F52" t="s">
        <v>184</v>
      </c>
      <c r="G52"/>
      <c r="H52"/>
      <c r="I52"/>
      <c r="J52" t="s">
        <v>21</v>
      </c>
      <c r="K52" s="44" t="s">
        <v>8</v>
      </c>
      <c r="L52" s="46"/>
      <c r="M52" s="48">
        <v>45391</v>
      </c>
      <c r="N52">
        <v>1</v>
      </c>
      <c r="O52" t="s">
        <v>253</v>
      </c>
      <c r="P52">
        <v>69</v>
      </c>
      <c r="Q52"/>
      <c r="R52"/>
      <c r="S52"/>
      <c r="T52" t="s">
        <v>289</v>
      </c>
      <c r="U52">
        <v>1</v>
      </c>
    </row>
    <row r="53" spans="1:21" ht="15" customHeight="1" x14ac:dyDescent="0.25">
      <c r="A53" s="43">
        <v>23</v>
      </c>
      <c r="B53" s="43">
        <v>9</v>
      </c>
      <c r="C53" s="98">
        <v>0.83333333333333337</v>
      </c>
      <c r="D53" s="43" t="s">
        <v>17</v>
      </c>
      <c r="E53" s="44">
        <v>3</v>
      </c>
      <c r="F53"/>
      <c r="G53"/>
      <c r="H53"/>
      <c r="I53"/>
      <c r="J53" t="s">
        <v>18</v>
      </c>
      <c r="K53" s="44" t="s">
        <v>8</v>
      </c>
      <c r="L53" s="46" t="s">
        <v>203</v>
      </c>
      <c r="M53" s="48">
        <v>45391</v>
      </c>
      <c r="N53">
        <v>0</v>
      </c>
      <c r="O53" t="s">
        <v>256</v>
      </c>
      <c r="P53"/>
      <c r="Q53"/>
      <c r="R53"/>
      <c r="S53"/>
      <c r="T53" t="s">
        <v>289</v>
      </c>
      <c r="U53"/>
    </row>
    <row r="54" spans="1:21" ht="15" customHeight="1" x14ac:dyDescent="0.25">
      <c r="A54" s="43">
        <v>24</v>
      </c>
      <c r="B54" s="43">
        <v>10</v>
      </c>
      <c r="C54" s="98">
        <v>0.33333333333333331</v>
      </c>
      <c r="D54" s="43" t="s">
        <v>79</v>
      </c>
      <c r="E54" s="44">
        <v>1</v>
      </c>
      <c r="F54" t="s">
        <v>183</v>
      </c>
      <c r="G54"/>
      <c r="H54"/>
      <c r="I54"/>
      <c r="J54" s="72" t="s">
        <v>15</v>
      </c>
      <c r="K54" s="44" t="s">
        <v>8</v>
      </c>
      <c r="L54" s="46"/>
      <c r="M54" s="48">
        <v>45392</v>
      </c>
      <c r="N54">
        <v>1</v>
      </c>
      <c r="O54"/>
      <c r="P54">
        <v>121</v>
      </c>
      <c r="Q54"/>
      <c r="R54"/>
      <c r="S54"/>
      <c r="T54" t="s">
        <v>289</v>
      </c>
      <c r="U54">
        <v>-1</v>
      </c>
    </row>
    <row r="55" spans="1:21" ht="15" customHeight="1" x14ac:dyDescent="0.25">
      <c r="A55" s="43">
        <v>25</v>
      </c>
      <c r="B55" s="43">
        <v>10</v>
      </c>
      <c r="C55" s="98">
        <v>0</v>
      </c>
      <c r="D55" s="43" t="s">
        <v>24</v>
      </c>
      <c r="E55" s="44">
        <v>1</v>
      </c>
      <c r="F55" t="s">
        <v>187</v>
      </c>
      <c r="G55"/>
      <c r="H55"/>
      <c r="I55"/>
      <c r="J55" t="s">
        <v>21</v>
      </c>
      <c r="K55" s="44" t="s">
        <v>8</v>
      </c>
      <c r="L55" s="46"/>
      <c r="M55" s="48">
        <v>45392</v>
      </c>
      <c r="N55">
        <v>1</v>
      </c>
      <c r="O55" t="s">
        <v>253</v>
      </c>
      <c r="P55">
        <v>52</v>
      </c>
      <c r="Q55"/>
      <c r="R55"/>
      <c r="S55"/>
      <c r="T55" t="s">
        <v>289</v>
      </c>
      <c r="U55">
        <v>1</v>
      </c>
    </row>
    <row r="56" spans="1:21" ht="15" customHeight="1" x14ac:dyDescent="0.25">
      <c r="A56" s="43">
        <v>26</v>
      </c>
      <c r="B56" s="43">
        <v>10</v>
      </c>
      <c r="C56" s="98">
        <v>0.54166666666666663</v>
      </c>
      <c r="D56" s="43" t="s">
        <v>25</v>
      </c>
      <c r="E56" s="44">
        <v>1</v>
      </c>
      <c r="F56" t="s">
        <v>199</v>
      </c>
      <c r="G56" t="s">
        <v>200</v>
      </c>
      <c r="H56"/>
      <c r="I56"/>
      <c r="J56" s="72" t="s">
        <v>15</v>
      </c>
      <c r="K56" s="44" t="s">
        <v>8</v>
      </c>
      <c r="L56" s="46"/>
      <c r="M56" s="48">
        <v>45392</v>
      </c>
      <c r="N56">
        <v>2</v>
      </c>
      <c r="O56"/>
      <c r="P56">
        <v>55</v>
      </c>
      <c r="Q56">
        <v>239</v>
      </c>
      <c r="R56"/>
      <c r="S56"/>
      <c r="T56" t="s">
        <v>289</v>
      </c>
      <c r="U56">
        <v>-1</v>
      </c>
    </row>
    <row r="57" spans="1:21" ht="15" customHeight="1" x14ac:dyDescent="0.25">
      <c r="A57" s="43">
        <v>27</v>
      </c>
      <c r="B57" s="43">
        <v>10</v>
      </c>
      <c r="C57" s="98">
        <v>0.625</v>
      </c>
      <c r="D57" s="43" t="s">
        <v>20</v>
      </c>
      <c r="E57" s="44">
        <v>3</v>
      </c>
      <c r="F57"/>
      <c r="G57"/>
      <c r="H57"/>
      <c r="I57"/>
      <c r="J57" t="s">
        <v>18</v>
      </c>
      <c r="K57" s="44" t="s">
        <v>8</v>
      </c>
      <c r="L57" s="46" t="s">
        <v>158</v>
      </c>
      <c r="M57" s="48">
        <v>45392</v>
      </c>
      <c r="N57">
        <v>0</v>
      </c>
      <c r="O57" t="s">
        <v>256</v>
      </c>
      <c r="P57"/>
      <c r="Q57"/>
      <c r="R57"/>
      <c r="S57"/>
      <c r="T57" t="s">
        <v>289</v>
      </c>
      <c r="U57"/>
    </row>
    <row r="58" spans="1:21" ht="15" customHeight="1" x14ac:dyDescent="0.25">
      <c r="A58" s="43">
        <v>28</v>
      </c>
      <c r="B58" s="43">
        <v>11</v>
      </c>
      <c r="C58" s="98">
        <v>0.41666666666666669</v>
      </c>
      <c r="D58" s="43" t="s">
        <v>72</v>
      </c>
      <c r="E58" s="44">
        <v>1</v>
      </c>
      <c r="F58" t="s">
        <v>163</v>
      </c>
      <c r="G58"/>
      <c r="H58"/>
      <c r="I58"/>
      <c r="J58" s="72" t="s">
        <v>15</v>
      </c>
      <c r="K58" s="44" t="s">
        <v>8</v>
      </c>
      <c r="L58" s="46"/>
      <c r="M58" s="48">
        <v>45393</v>
      </c>
      <c r="N58">
        <v>1</v>
      </c>
      <c r="O58"/>
      <c r="P58">
        <v>38</v>
      </c>
      <c r="Q58"/>
      <c r="R58"/>
      <c r="S58"/>
      <c r="T58" t="s">
        <v>289</v>
      </c>
      <c r="U58">
        <v>-1</v>
      </c>
    </row>
    <row r="59" spans="1:21" ht="15" customHeight="1" x14ac:dyDescent="0.25">
      <c r="A59" s="43">
        <v>29</v>
      </c>
      <c r="B59" s="43">
        <v>11</v>
      </c>
      <c r="C59" s="98">
        <v>0.45833333333333331</v>
      </c>
      <c r="D59" s="43" t="s">
        <v>69</v>
      </c>
      <c r="E59" s="44">
        <v>1.5</v>
      </c>
      <c r="F59"/>
      <c r="G59"/>
      <c r="H59"/>
      <c r="I59"/>
      <c r="J59" s="76" t="s">
        <v>65</v>
      </c>
      <c r="K59" s="44" t="s">
        <v>8</v>
      </c>
      <c r="L59" s="46" t="s">
        <v>164</v>
      </c>
      <c r="M59" s="48">
        <v>45393</v>
      </c>
      <c r="N59" s="76">
        <v>0</v>
      </c>
      <c r="O59"/>
      <c r="P59"/>
      <c r="Q59"/>
      <c r="R59"/>
      <c r="S59"/>
      <c r="T59" t="s">
        <v>289</v>
      </c>
      <c r="U59">
        <v>-1</v>
      </c>
    </row>
    <row r="60" spans="1:21" ht="15" customHeight="1" x14ac:dyDescent="0.25">
      <c r="A60" s="43">
        <v>30</v>
      </c>
      <c r="B60" s="43">
        <v>11</v>
      </c>
      <c r="C60" s="98">
        <v>0.52083333333333337</v>
      </c>
      <c r="D60" s="43" t="s">
        <v>25</v>
      </c>
      <c r="E60" s="44">
        <v>1.5</v>
      </c>
      <c r="F60" t="s">
        <v>189</v>
      </c>
      <c r="G60" t="s">
        <v>188</v>
      </c>
      <c r="H60"/>
      <c r="I60"/>
      <c r="J60" s="72" t="s">
        <v>15</v>
      </c>
      <c r="K60" s="44" t="s">
        <v>8</v>
      </c>
      <c r="L60" s="46"/>
      <c r="M60" s="48">
        <v>45393</v>
      </c>
      <c r="N60">
        <v>2</v>
      </c>
      <c r="O60"/>
      <c r="P60">
        <v>127</v>
      </c>
      <c r="Q60">
        <v>189</v>
      </c>
      <c r="R60"/>
      <c r="S60"/>
      <c r="T60" t="s">
        <v>289</v>
      </c>
      <c r="U60">
        <v>-1</v>
      </c>
    </row>
    <row r="61" spans="1:21" ht="15" customHeight="1" x14ac:dyDescent="0.25">
      <c r="A61" s="43">
        <v>31</v>
      </c>
      <c r="B61" s="43">
        <v>11</v>
      </c>
      <c r="C61" s="98">
        <v>0.58333333333333337</v>
      </c>
      <c r="D61" s="43" t="s">
        <v>19</v>
      </c>
      <c r="E61" s="44">
        <v>1</v>
      </c>
      <c r="F61" t="s">
        <v>204</v>
      </c>
      <c r="G61"/>
      <c r="H61"/>
      <c r="I61"/>
      <c r="J61" s="72" t="s">
        <v>15</v>
      </c>
      <c r="K61" s="44" t="s">
        <v>8</v>
      </c>
      <c r="L61" s="46"/>
      <c r="M61" s="48">
        <v>45393</v>
      </c>
      <c r="N61">
        <v>1</v>
      </c>
      <c r="O61"/>
      <c r="P61">
        <v>120</v>
      </c>
      <c r="Q61"/>
      <c r="R61"/>
      <c r="S61"/>
      <c r="T61" t="s">
        <v>289</v>
      </c>
      <c r="U61">
        <v>-1</v>
      </c>
    </row>
    <row r="62" spans="1:21" ht="15" customHeight="1" x14ac:dyDescent="0.25">
      <c r="A62" s="43">
        <v>32</v>
      </c>
      <c r="B62" s="43">
        <v>11</v>
      </c>
      <c r="C62" s="98">
        <v>0.64583333333333337</v>
      </c>
      <c r="D62" s="43" t="s">
        <v>70</v>
      </c>
      <c r="E62" s="44">
        <v>1</v>
      </c>
      <c r="F62" t="s">
        <v>182</v>
      </c>
      <c r="G62" t="s">
        <v>167</v>
      </c>
      <c r="H62"/>
      <c r="I62"/>
      <c r="J62" s="72" t="s">
        <v>15</v>
      </c>
      <c r="K62" s="44" t="s">
        <v>8</v>
      </c>
      <c r="L62" s="46"/>
      <c r="M62" s="48">
        <v>45393</v>
      </c>
      <c r="N62">
        <v>2</v>
      </c>
      <c r="O62"/>
      <c r="P62">
        <v>188</v>
      </c>
      <c r="Q62">
        <v>58</v>
      </c>
      <c r="R62"/>
      <c r="S62"/>
      <c r="T62" t="s">
        <v>289</v>
      </c>
      <c r="U62">
        <v>-1</v>
      </c>
    </row>
    <row r="63" spans="1:21" ht="15" customHeight="1" x14ac:dyDescent="0.25">
      <c r="A63" s="43">
        <v>33</v>
      </c>
      <c r="B63" s="43">
        <v>12</v>
      </c>
      <c r="C63" s="98">
        <v>0.58333333333333337</v>
      </c>
      <c r="D63" s="43" t="s">
        <v>10</v>
      </c>
      <c r="E63" s="44">
        <v>3</v>
      </c>
      <c r="F63"/>
      <c r="G63"/>
      <c r="H63"/>
      <c r="I63"/>
      <c r="J63" t="s">
        <v>18</v>
      </c>
      <c r="K63" s="44" t="s">
        <v>8</v>
      </c>
      <c r="L63" s="46" t="s">
        <v>205</v>
      </c>
      <c r="M63" s="48">
        <v>45394</v>
      </c>
      <c r="N63">
        <v>0</v>
      </c>
      <c r="O63" t="s">
        <v>256</v>
      </c>
      <c r="P63"/>
      <c r="Q63"/>
      <c r="R63"/>
      <c r="S63"/>
      <c r="T63" t="s">
        <v>289</v>
      </c>
      <c r="U63"/>
    </row>
    <row r="64" spans="1:21" ht="15" customHeight="1" x14ac:dyDescent="0.25">
      <c r="A64" s="43">
        <v>34</v>
      </c>
      <c r="B64" s="43">
        <v>15</v>
      </c>
      <c r="C64" s="98">
        <v>0.33333333333333331</v>
      </c>
      <c r="D64" s="43" t="s">
        <v>79</v>
      </c>
      <c r="E64" s="44">
        <v>1</v>
      </c>
      <c r="F64" t="s">
        <v>183</v>
      </c>
      <c r="G64"/>
      <c r="H64"/>
      <c r="I64"/>
      <c r="J64" s="72" t="s">
        <v>15</v>
      </c>
      <c r="K64" s="44" t="s">
        <v>8</v>
      </c>
      <c r="L64" s="46"/>
      <c r="M64" s="48">
        <v>45397</v>
      </c>
      <c r="N64">
        <v>1</v>
      </c>
      <c r="O64"/>
      <c r="P64">
        <v>121</v>
      </c>
      <c r="Q64"/>
      <c r="R64"/>
      <c r="S64"/>
      <c r="T64" t="s">
        <v>289</v>
      </c>
      <c r="U64">
        <v>-1</v>
      </c>
    </row>
    <row r="65" spans="1:21" ht="15" customHeight="1" x14ac:dyDescent="0.25">
      <c r="A65" s="43">
        <v>35</v>
      </c>
      <c r="B65" s="43">
        <v>15</v>
      </c>
      <c r="C65" s="98">
        <v>0.375</v>
      </c>
      <c r="D65" s="43" t="s">
        <v>85</v>
      </c>
      <c r="E65" s="44">
        <v>1</v>
      </c>
      <c r="F65" t="s">
        <v>149</v>
      </c>
      <c r="G65" t="s">
        <v>150</v>
      </c>
      <c r="H65"/>
      <c r="I65"/>
      <c r="J65" s="72" t="s">
        <v>15</v>
      </c>
      <c r="K65" s="44" t="s">
        <v>8</v>
      </c>
      <c r="L65" s="46"/>
      <c r="M65" s="48">
        <v>45397</v>
      </c>
      <c r="N65">
        <v>2</v>
      </c>
      <c r="O65"/>
      <c r="P65">
        <v>118</v>
      </c>
      <c r="Q65">
        <v>125</v>
      </c>
      <c r="R65"/>
      <c r="S65"/>
      <c r="T65" t="s">
        <v>289</v>
      </c>
      <c r="U65">
        <v>-1</v>
      </c>
    </row>
    <row r="66" spans="1:21" ht="15" customHeight="1" x14ac:dyDescent="0.25">
      <c r="A66" s="43">
        <v>36</v>
      </c>
      <c r="B66" s="43">
        <v>15</v>
      </c>
      <c r="C66" s="98">
        <v>0.41666666666666669</v>
      </c>
      <c r="D66" s="43" t="s">
        <v>93</v>
      </c>
      <c r="E66" s="44">
        <v>1.5</v>
      </c>
      <c r="F66"/>
      <c r="G66"/>
      <c r="H66"/>
      <c r="I66"/>
      <c r="J66" s="76" t="s">
        <v>65</v>
      </c>
      <c r="K66" s="44" t="s">
        <v>8</v>
      </c>
      <c r="L66" s="46"/>
      <c r="M66" s="48">
        <v>45397</v>
      </c>
      <c r="N66" s="76">
        <v>0</v>
      </c>
      <c r="O66"/>
      <c r="P66"/>
      <c r="Q66"/>
      <c r="R66"/>
      <c r="S66"/>
      <c r="T66" t="s">
        <v>289</v>
      </c>
      <c r="U66">
        <v>-1</v>
      </c>
    </row>
    <row r="67" spans="1:21" ht="15" customHeight="1" x14ac:dyDescent="0.25">
      <c r="A67" s="43">
        <v>37</v>
      </c>
      <c r="B67" s="43">
        <v>15</v>
      </c>
      <c r="C67" s="98">
        <v>0.47916666666666669</v>
      </c>
      <c r="D67" s="43" t="s">
        <v>69</v>
      </c>
      <c r="E67" s="44">
        <v>1</v>
      </c>
      <c r="F67" t="s">
        <v>159</v>
      </c>
      <c r="G67"/>
      <c r="H67"/>
      <c r="I67"/>
      <c r="J67" s="72" t="s">
        <v>15</v>
      </c>
      <c r="K67" s="44" t="s">
        <v>8</v>
      </c>
      <c r="L67" s="46"/>
      <c r="M67" s="48">
        <v>45397</v>
      </c>
      <c r="N67">
        <v>1</v>
      </c>
      <c r="O67"/>
      <c r="P67">
        <v>34</v>
      </c>
      <c r="Q67"/>
      <c r="R67"/>
      <c r="S67"/>
      <c r="T67" t="s">
        <v>289</v>
      </c>
      <c r="U67">
        <v>-1</v>
      </c>
    </row>
    <row r="68" spans="1:21" ht="15" customHeight="1" x14ac:dyDescent="0.25">
      <c r="A68" s="43">
        <v>38</v>
      </c>
      <c r="B68" s="43">
        <v>16</v>
      </c>
      <c r="C68" s="98">
        <v>0.41666666666666669</v>
      </c>
      <c r="D68" s="43" t="s">
        <v>72</v>
      </c>
      <c r="E68" s="44">
        <v>1</v>
      </c>
      <c r="F68" t="s">
        <v>162</v>
      </c>
      <c r="G68" t="s">
        <v>161</v>
      </c>
      <c r="H68"/>
      <c r="I68"/>
      <c r="J68" s="72" t="s">
        <v>15</v>
      </c>
      <c r="K68" s="44" t="s">
        <v>8</v>
      </c>
      <c r="L68" s="46"/>
      <c r="M68" s="48">
        <v>45398</v>
      </c>
      <c r="N68">
        <v>2</v>
      </c>
      <c r="O68"/>
      <c r="P68">
        <v>195</v>
      </c>
      <c r="Q68">
        <v>201</v>
      </c>
      <c r="R68"/>
      <c r="S68"/>
      <c r="T68" t="s">
        <v>289</v>
      </c>
      <c r="U68">
        <v>-1</v>
      </c>
    </row>
    <row r="69" spans="1:21" ht="15" customHeight="1" x14ac:dyDescent="0.25">
      <c r="A69" s="43">
        <v>39</v>
      </c>
      <c r="B69" s="43">
        <v>16</v>
      </c>
      <c r="C69" s="98">
        <v>0.52083333333333337</v>
      </c>
      <c r="D69" s="43" t="s">
        <v>25</v>
      </c>
      <c r="E69" s="44">
        <v>1.5</v>
      </c>
      <c r="F69" t="s">
        <v>189</v>
      </c>
      <c r="G69" t="s">
        <v>188</v>
      </c>
      <c r="H69"/>
      <c r="I69"/>
      <c r="J69" s="72" t="s">
        <v>15</v>
      </c>
      <c r="K69" s="44" t="s">
        <v>8</v>
      </c>
      <c r="L69" s="46"/>
      <c r="M69" s="48">
        <v>45398</v>
      </c>
      <c r="N69">
        <v>2</v>
      </c>
      <c r="O69"/>
      <c r="P69">
        <v>127</v>
      </c>
      <c r="Q69">
        <v>189</v>
      </c>
      <c r="R69"/>
      <c r="S69"/>
      <c r="T69" t="s">
        <v>289</v>
      </c>
      <c r="U69">
        <v>-1</v>
      </c>
    </row>
    <row r="70" spans="1:21" ht="15" customHeight="1" x14ac:dyDescent="0.25">
      <c r="A70" s="43">
        <v>40</v>
      </c>
      <c r="B70" s="43">
        <v>16</v>
      </c>
      <c r="C70" s="98">
        <v>0.625</v>
      </c>
      <c r="D70" s="43" t="s">
        <v>20</v>
      </c>
      <c r="E70" s="44">
        <v>3</v>
      </c>
      <c r="F70"/>
      <c r="G70"/>
      <c r="H70"/>
      <c r="I70"/>
      <c r="J70" t="s">
        <v>18</v>
      </c>
      <c r="K70" s="44" t="s">
        <v>8</v>
      </c>
      <c r="L70" s="46" t="s">
        <v>158</v>
      </c>
      <c r="M70" s="48">
        <v>45398</v>
      </c>
      <c r="N70">
        <v>0</v>
      </c>
      <c r="O70" t="s">
        <v>256</v>
      </c>
      <c r="P70"/>
      <c r="Q70"/>
      <c r="R70"/>
      <c r="S70"/>
      <c r="T70" t="s">
        <v>289</v>
      </c>
      <c r="U70"/>
    </row>
    <row r="71" spans="1:21" ht="15" customHeight="1" x14ac:dyDescent="0.25">
      <c r="A71" s="43">
        <v>41</v>
      </c>
      <c r="B71" s="43">
        <v>17</v>
      </c>
      <c r="C71" s="98">
        <v>0.33333333333333331</v>
      </c>
      <c r="D71" s="43" t="s">
        <v>79</v>
      </c>
      <c r="E71" s="44">
        <v>1</v>
      </c>
      <c r="F71" t="s">
        <v>183</v>
      </c>
      <c r="G71"/>
      <c r="H71"/>
      <c r="I71"/>
      <c r="J71" s="72" t="s">
        <v>15</v>
      </c>
      <c r="K71" s="44" t="s">
        <v>8</v>
      </c>
      <c r="L71" s="46"/>
      <c r="M71" s="48">
        <v>45399</v>
      </c>
      <c r="N71">
        <v>1</v>
      </c>
      <c r="O71"/>
      <c r="P71">
        <v>121</v>
      </c>
      <c r="Q71"/>
      <c r="R71"/>
      <c r="S71"/>
      <c r="T71" t="s">
        <v>289</v>
      </c>
      <c r="U71">
        <v>-1</v>
      </c>
    </row>
    <row r="72" spans="1:21" ht="15" customHeight="1" x14ac:dyDescent="0.25">
      <c r="A72" s="43">
        <v>42</v>
      </c>
      <c r="B72" s="43">
        <v>17</v>
      </c>
      <c r="C72" s="98">
        <v>0.375</v>
      </c>
      <c r="D72" s="43" t="s">
        <v>85</v>
      </c>
      <c r="E72" s="44">
        <v>1</v>
      </c>
      <c r="F72" t="s">
        <v>145</v>
      </c>
      <c r="G72"/>
      <c r="H72"/>
      <c r="I72"/>
      <c r="J72" s="72" t="s">
        <v>15</v>
      </c>
      <c r="K72" s="44" t="s">
        <v>8</v>
      </c>
      <c r="L72" s="46"/>
      <c r="M72" s="48">
        <v>45399</v>
      </c>
      <c r="N72">
        <v>1</v>
      </c>
      <c r="O72"/>
      <c r="P72">
        <v>163</v>
      </c>
      <c r="Q72"/>
      <c r="R72"/>
      <c r="S72"/>
      <c r="T72" t="s">
        <v>289</v>
      </c>
      <c r="U72">
        <v>-1</v>
      </c>
    </row>
    <row r="73" spans="1:21" ht="15" customHeight="1" x14ac:dyDescent="0.25">
      <c r="A73" s="43">
        <v>43</v>
      </c>
      <c r="B73" s="43">
        <v>17</v>
      </c>
      <c r="C73" s="98">
        <v>0.41666666666666669</v>
      </c>
      <c r="D73" s="43" t="s">
        <v>72</v>
      </c>
      <c r="E73" s="44">
        <v>1</v>
      </c>
      <c r="F73" t="s">
        <v>170</v>
      </c>
      <c r="G73" t="s">
        <v>171</v>
      </c>
      <c r="H73"/>
      <c r="I73"/>
      <c r="J73" s="72" t="s">
        <v>15</v>
      </c>
      <c r="K73" s="44" t="s">
        <v>8</v>
      </c>
      <c r="L73" s="46"/>
      <c r="M73" s="48">
        <v>45399</v>
      </c>
      <c r="N73">
        <v>2</v>
      </c>
      <c r="O73"/>
      <c r="P73">
        <v>209</v>
      </c>
      <c r="Q73">
        <v>167</v>
      </c>
      <c r="R73"/>
      <c r="S73"/>
      <c r="T73" t="s">
        <v>289</v>
      </c>
      <c r="U73">
        <v>-1</v>
      </c>
    </row>
    <row r="74" spans="1:21" ht="15" customHeight="1" x14ac:dyDescent="0.25">
      <c r="A74" s="43">
        <v>44</v>
      </c>
      <c r="B74" s="43">
        <v>17</v>
      </c>
      <c r="C74" s="98">
        <v>0.45833333333333331</v>
      </c>
      <c r="D74" s="43" t="s">
        <v>13</v>
      </c>
      <c r="E74" s="44">
        <v>1</v>
      </c>
      <c r="F74" t="s">
        <v>160</v>
      </c>
      <c r="G74"/>
      <c r="H74"/>
      <c r="I74"/>
      <c r="J74" s="72" t="s">
        <v>15</v>
      </c>
      <c r="K74" s="44" t="s">
        <v>8</v>
      </c>
      <c r="L74" s="46"/>
      <c r="M74" s="48">
        <v>45399</v>
      </c>
      <c r="N74">
        <v>1</v>
      </c>
      <c r="O74"/>
      <c r="P74">
        <v>47</v>
      </c>
      <c r="Q74"/>
      <c r="R74"/>
      <c r="S74"/>
      <c r="T74" t="s">
        <v>289</v>
      </c>
      <c r="U74">
        <v>-1</v>
      </c>
    </row>
    <row r="75" spans="1:21" ht="15" customHeight="1" x14ac:dyDescent="0.25">
      <c r="A75" s="43">
        <v>45</v>
      </c>
      <c r="B75" s="43">
        <v>17</v>
      </c>
      <c r="C75" s="98">
        <v>0</v>
      </c>
      <c r="D75" s="43" t="s">
        <v>24</v>
      </c>
      <c r="E75" s="44">
        <v>1</v>
      </c>
      <c r="F75" t="s">
        <v>184</v>
      </c>
      <c r="G75"/>
      <c r="H75"/>
      <c r="I75"/>
      <c r="J75" t="s">
        <v>21</v>
      </c>
      <c r="K75" s="44" t="s">
        <v>8</v>
      </c>
      <c r="L75" s="46"/>
      <c r="M75" s="48">
        <v>45399</v>
      </c>
      <c r="N75">
        <v>1</v>
      </c>
      <c r="O75" t="s">
        <v>253</v>
      </c>
      <c r="P75">
        <v>69</v>
      </c>
      <c r="Q75"/>
      <c r="R75"/>
      <c r="S75"/>
      <c r="T75" t="s">
        <v>289</v>
      </c>
      <c r="U75">
        <v>1</v>
      </c>
    </row>
    <row r="76" spans="1:21" ht="15" customHeight="1" x14ac:dyDescent="0.25">
      <c r="A76" s="43">
        <v>46</v>
      </c>
      <c r="B76" s="43">
        <v>18</v>
      </c>
      <c r="C76" s="98">
        <v>0.33333333333333331</v>
      </c>
      <c r="D76" s="43" t="s">
        <v>79</v>
      </c>
      <c r="E76" s="44">
        <v>1</v>
      </c>
      <c r="F76" t="s">
        <v>183</v>
      </c>
      <c r="G76"/>
      <c r="H76"/>
      <c r="I76"/>
      <c r="J76" s="72" t="s">
        <v>15</v>
      </c>
      <c r="K76" s="44" t="s">
        <v>8</v>
      </c>
      <c r="L76" s="46"/>
      <c r="M76" s="48">
        <v>45400</v>
      </c>
      <c r="N76">
        <v>1</v>
      </c>
      <c r="O76"/>
      <c r="P76">
        <v>121</v>
      </c>
      <c r="Q76"/>
      <c r="R76"/>
      <c r="S76"/>
      <c r="T76" t="s">
        <v>289</v>
      </c>
      <c r="U76">
        <v>-1</v>
      </c>
    </row>
    <row r="77" spans="1:21" ht="15" customHeight="1" x14ac:dyDescent="0.25">
      <c r="A77" s="43">
        <v>47</v>
      </c>
      <c r="B77" s="43">
        <v>18</v>
      </c>
      <c r="C77" s="98">
        <v>0.45833333333333331</v>
      </c>
      <c r="D77" s="43" t="s">
        <v>69</v>
      </c>
      <c r="E77" s="44">
        <v>1.5</v>
      </c>
      <c r="F77"/>
      <c r="G77"/>
      <c r="H77"/>
      <c r="I77"/>
      <c r="J77" s="76" t="s">
        <v>65</v>
      </c>
      <c r="K77" s="44" t="s">
        <v>8</v>
      </c>
      <c r="L77" s="46" t="s">
        <v>164</v>
      </c>
      <c r="M77" s="48">
        <v>45400</v>
      </c>
      <c r="N77" s="76">
        <v>0</v>
      </c>
      <c r="O77"/>
      <c r="P77"/>
      <c r="Q77"/>
      <c r="R77"/>
      <c r="S77"/>
      <c r="T77" t="s">
        <v>289</v>
      </c>
      <c r="U77">
        <v>-1</v>
      </c>
    </row>
    <row r="78" spans="1:21" ht="15" customHeight="1" x14ac:dyDescent="0.25">
      <c r="A78" s="43">
        <v>48</v>
      </c>
      <c r="B78" s="43">
        <v>18</v>
      </c>
      <c r="C78" s="98">
        <v>0.54166666666666663</v>
      </c>
      <c r="D78" s="43" t="s">
        <v>25</v>
      </c>
      <c r="E78" s="44">
        <v>1</v>
      </c>
      <c r="F78" t="s">
        <v>192</v>
      </c>
      <c r="G78"/>
      <c r="H78"/>
      <c r="I78"/>
      <c r="J78" s="72" t="s">
        <v>15</v>
      </c>
      <c r="K78" s="44" t="s">
        <v>8</v>
      </c>
      <c r="L78" s="46"/>
      <c r="M78" s="48">
        <v>45400</v>
      </c>
      <c r="N78">
        <v>1</v>
      </c>
      <c r="O78"/>
      <c r="P78">
        <v>122</v>
      </c>
      <c r="Q78"/>
      <c r="R78"/>
      <c r="S78"/>
      <c r="T78" t="s">
        <v>289</v>
      </c>
      <c r="U78">
        <v>-1</v>
      </c>
    </row>
    <row r="79" spans="1:21" ht="15" customHeight="1" x14ac:dyDescent="0.25">
      <c r="A79" s="43">
        <v>49</v>
      </c>
      <c r="B79" s="43">
        <v>18</v>
      </c>
      <c r="C79" s="98">
        <v>0.60416666666666663</v>
      </c>
      <c r="D79" s="43" t="s">
        <v>26</v>
      </c>
      <c r="E79" s="44">
        <v>1</v>
      </c>
      <c r="F79" t="s">
        <v>165</v>
      </c>
      <c r="G79"/>
      <c r="H79"/>
      <c r="I79"/>
      <c r="J79" t="s">
        <v>21</v>
      </c>
      <c r="K79" s="44" t="s">
        <v>8</v>
      </c>
      <c r="L79" s="46"/>
      <c r="M79" s="48">
        <v>45400</v>
      </c>
      <c r="N79">
        <v>1</v>
      </c>
      <c r="O79" t="s">
        <v>253</v>
      </c>
      <c r="P79">
        <v>119</v>
      </c>
      <c r="Q79"/>
      <c r="R79"/>
      <c r="S79"/>
      <c r="T79" t="s">
        <v>289</v>
      </c>
      <c r="U79">
        <v>1</v>
      </c>
    </row>
    <row r="80" spans="1:21" ht="15" customHeight="1" x14ac:dyDescent="0.25">
      <c r="A80" s="43">
        <v>50</v>
      </c>
      <c r="B80" s="43">
        <v>18</v>
      </c>
      <c r="C80" s="98">
        <v>0.64583333333333337</v>
      </c>
      <c r="D80" s="43" t="s">
        <v>70</v>
      </c>
      <c r="E80" s="44">
        <v>1</v>
      </c>
      <c r="F80" t="s">
        <v>182</v>
      </c>
      <c r="G80" t="s">
        <v>167</v>
      </c>
      <c r="H80"/>
      <c r="I80"/>
      <c r="J80" s="72" t="s">
        <v>15</v>
      </c>
      <c r="K80" s="44" t="s">
        <v>8</v>
      </c>
      <c r="L80" s="46"/>
      <c r="M80" s="48">
        <v>45400</v>
      </c>
      <c r="N80">
        <v>2</v>
      </c>
      <c r="O80"/>
      <c r="P80">
        <v>188</v>
      </c>
      <c r="Q80">
        <v>58</v>
      </c>
      <c r="R80"/>
      <c r="S80"/>
      <c r="T80" t="s">
        <v>289</v>
      </c>
      <c r="U80">
        <v>-1</v>
      </c>
    </row>
    <row r="81" spans="1:21" ht="15" customHeight="1" x14ac:dyDescent="0.25">
      <c r="A81" s="43">
        <v>51</v>
      </c>
      <c r="B81" s="43">
        <v>20</v>
      </c>
      <c r="C81" s="98">
        <v>0.70833333333333337</v>
      </c>
      <c r="D81" s="43" t="s">
        <v>16</v>
      </c>
      <c r="E81" s="44">
        <v>3</v>
      </c>
      <c r="F81"/>
      <c r="G81"/>
      <c r="H81"/>
      <c r="I81"/>
      <c r="J81" t="s">
        <v>18</v>
      </c>
      <c r="K81" s="44" t="s">
        <v>8</v>
      </c>
      <c r="L81" s="46" t="s">
        <v>205</v>
      </c>
      <c r="M81" s="48">
        <v>45402</v>
      </c>
      <c r="N81">
        <v>0</v>
      </c>
      <c r="O81" t="s">
        <v>256</v>
      </c>
      <c r="P81"/>
      <c r="Q81"/>
      <c r="R81"/>
      <c r="S81"/>
      <c r="T81" t="s">
        <v>289</v>
      </c>
      <c r="U81"/>
    </row>
    <row r="82" spans="1:21" ht="15" customHeight="1" x14ac:dyDescent="0.25">
      <c r="A82" s="43">
        <v>52</v>
      </c>
      <c r="B82" s="43">
        <v>22</v>
      </c>
      <c r="C82" s="98">
        <v>0.33333333333333331</v>
      </c>
      <c r="D82" s="43" t="s">
        <v>79</v>
      </c>
      <c r="E82" s="44">
        <v>1</v>
      </c>
      <c r="F82" t="s">
        <v>183</v>
      </c>
      <c r="G82"/>
      <c r="H82"/>
      <c r="I82"/>
      <c r="J82" s="72" t="s">
        <v>15</v>
      </c>
      <c r="K82" s="44" t="s">
        <v>8</v>
      </c>
      <c r="L82" s="46"/>
      <c r="M82" s="48">
        <v>45404</v>
      </c>
      <c r="N82">
        <v>1</v>
      </c>
      <c r="O82"/>
      <c r="P82">
        <v>121</v>
      </c>
      <c r="Q82"/>
      <c r="R82"/>
      <c r="S82"/>
      <c r="T82" t="s">
        <v>289</v>
      </c>
      <c r="U82">
        <v>-1</v>
      </c>
    </row>
    <row r="83" spans="1:21" ht="15" customHeight="1" x14ac:dyDescent="0.25">
      <c r="A83" s="43">
        <v>53</v>
      </c>
      <c r="B83" s="43">
        <v>22</v>
      </c>
      <c r="C83" s="98">
        <v>0.375</v>
      </c>
      <c r="D83" s="43" t="s">
        <v>85</v>
      </c>
      <c r="E83" s="44">
        <v>1</v>
      </c>
      <c r="F83" t="s">
        <v>149</v>
      </c>
      <c r="G83" t="s">
        <v>150</v>
      </c>
      <c r="H83"/>
      <c r="I83"/>
      <c r="J83" s="72" t="s">
        <v>15</v>
      </c>
      <c r="K83" s="44" t="s">
        <v>8</v>
      </c>
      <c r="L83" s="46"/>
      <c r="M83" s="48">
        <v>45404</v>
      </c>
      <c r="N83">
        <v>2</v>
      </c>
      <c r="O83"/>
      <c r="P83">
        <v>118</v>
      </c>
      <c r="Q83">
        <v>125</v>
      </c>
      <c r="R83"/>
      <c r="S83"/>
      <c r="T83" t="s">
        <v>289</v>
      </c>
      <c r="U83">
        <v>-1</v>
      </c>
    </row>
    <row r="84" spans="1:21" ht="15" customHeight="1" x14ac:dyDescent="0.25">
      <c r="A84" s="43">
        <v>54</v>
      </c>
      <c r="B84" s="43">
        <v>22</v>
      </c>
      <c r="C84" s="98">
        <v>0.41666666666666669</v>
      </c>
      <c r="D84" s="43" t="s">
        <v>93</v>
      </c>
      <c r="E84" s="44">
        <v>1.5</v>
      </c>
      <c r="F84"/>
      <c r="G84"/>
      <c r="H84"/>
      <c r="I84"/>
      <c r="J84" s="76" t="s">
        <v>65</v>
      </c>
      <c r="K84" s="44" t="s">
        <v>8</v>
      </c>
      <c r="L84" s="46"/>
      <c r="M84" s="48">
        <v>45404</v>
      </c>
      <c r="N84" s="76">
        <v>0</v>
      </c>
      <c r="O84"/>
      <c r="P84"/>
      <c r="Q84"/>
      <c r="R84"/>
      <c r="S84"/>
      <c r="T84" t="s">
        <v>289</v>
      </c>
      <c r="U84">
        <v>-1</v>
      </c>
    </row>
    <row r="85" spans="1:21" ht="15" customHeight="1" x14ac:dyDescent="0.25">
      <c r="A85" s="43">
        <v>55</v>
      </c>
      <c r="B85" s="43">
        <v>22</v>
      </c>
      <c r="C85" s="98">
        <v>0.47916666666666669</v>
      </c>
      <c r="D85" s="43" t="s">
        <v>69</v>
      </c>
      <c r="E85" s="44">
        <v>1</v>
      </c>
      <c r="F85" t="s">
        <v>159</v>
      </c>
      <c r="G85"/>
      <c r="H85"/>
      <c r="I85"/>
      <c r="J85" s="72" t="s">
        <v>15</v>
      </c>
      <c r="K85" s="44" t="s">
        <v>8</v>
      </c>
      <c r="L85" s="46"/>
      <c r="M85" s="48">
        <v>45404</v>
      </c>
      <c r="N85">
        <v>1</v>
      </c>
      <c r="O85"/>
      <c r="P85">
        <v>34</v>
      </c>
      <c r="Q85"/>
      <c r="R85"/>
      <c r="S85"/>
      <c r="T85" t="s">
        <v>289</v>
      </c>
      <c r="U85">
        <v>-1</v>
      </c>
    </row>
    <row r="86" spans="1:21" ht="15" customHeight="1" x14ac:dyDescent="0.25">
      <c r="A86" s="43">
        <v>56</v>
      </c>
      <c r="B86" s="43">
        <v>22</v>
      </c>
      <c r="C86" s="98">
        <v>0.64583333333333337</v>
      </c>
      <c r="D86" s="43" t="s">
        <v>10</v>
      </c>
      <c r="E86" s="44">
        <v>1.5</v>
      </c>
      <c r="F86"/>
      <c r="G86"/>
      <c r="H86"/>
      <c r="I86"/>
      <c r="J86" s="76" t="s">
        <v>65</v>
      </c>
      <c r="K86" s="44" t="s">
        <v>8</v>
      </c>
      <c r="L86" s="46"/>
      <c r="M86" s="48">
        <v>45404</v>
      </c>
      <c r="N86" s="76">
        <v>0</v>
      </c>
      <c r="O86"/>
      <c r="P86"/>
      <c r="Q86"/>
      <c r="R86"/>
      <c r="S86"/>
      <c r="T86" t="s">
        <v>289</v>
      </c>
      <c r="U86">
        <v>-1</v>
      </c>
    </row>
    <row r="87" spans="1:21" ht="15" customHeight="1" x14ac:dyDescent="0.25">
      <c r="A87" s="43">
        <v>57</v>
      </c>
      <c r="B87" s="43">
        <v>22</v>
      </c>
      <c r="C87" s="98">
        <v>0.83333333333333337</v>
      </c>
      <c r="D87" s="43" t="s">
        <v>17</v>
      </c>
      <c r="E87" s="44">
        <v>3</v>
      </c>
      <c r="F87"/>
      <c r="G87"/>
      <c r="H87"/>
      <c r="I87"/>
      <c r="J87" t="s">
        <v>18</v>
      </c>
      <c r="K87" s="44" t="s">
        <v>8</v>
      </c>
      <c r="L87" s="46"/>
      <c r="M87" s="48">
        <v>45404</v>
      </c>
      <c r="N87" s="76">
        <v>0</v>
      </c>
      <c r="O87" t="s">
        <v>256</v>
      </c>
      <c r="P87"/>
      <c r="Q87"/>
      <c r="R87"/>
      <c r="S87"/>
      <c r="T87" t="s">
        <v>289</v>
      </c>
      <c r="U87">
        <v>-1</v>
      </c>
    </row>
    <row r="88" spans="1:21" ht="15" customHeight="1" x14ac:dyDescent="0.25">
      <c r="A88" s="43">
        <v>58</v>
      </c>
      <c r="B88" s="43">
        <v>22</v>
      </c>
      <c r="C88" s="98">
        <v>0.52083333333333337</v>
      </c>
      <c r="D88" s="43" t="s">
        <v>14</v>
      </c>
      <c r="E88" s="44">
        <v>1</v>
      </c>
      <c r="F88" t="s">
        <v>172</v>
      </c>
      <c r="G88"/>
      <c r="H88"/>
      <c r="I88"/>
      <c r="J88" s="72" t="s">
        <v>15</v>
      </c>
      <c r="K88" s="44" t="s">
        <v>8</v>
      </c>
      <c r="L88" s="46"/>
      <c r="M88" s="48">
        <v>45404</v>
      </c>
      <c r="N88">
        <v>1</v>
      </c>
      <c r="O88"/>
      <c r="P88">
        <v>251</v>
      </c>
      <c r="Q88"/>
      <c r="R88"/>
      <c r="S88"/>
      <c r="T88" t="s">
        <v>289</v>
      </c>
      <c r="U88">
        <v>-1</v>
      </c>
    </row>
    <row r="89" spans="1:21" ht="15" customHeight="1" x14ac:dyDescent="0.25">
      <c r="A89" s="43">
        <v>59</v>
      </c>
      <c r="B89" s="43">
        <v>23</v>
      </c>
      <c r="C89" s="98">
        <v>0.625</v>
      </c>
      <c r="D89" s="43" t="s">
        <v>20</v>
      </c>
      <c r="E89" s="44">
        <v>3</v>
      </c>
      <c r="F89"/>
      <c r="G89"/>
      <c r="H89"/>
      <c r="I89"/>
      <c r="J89" t="s">
        <v>18</v>
      </c>
      <c r="K89" s="44" t="s">
        <v>8</v>
      </c>
      <c r="L89" s="46" t="s">
        <v>158</v>
      </c>
      <c r="M89" s="48">
        <v>45405</v>
      </c>
      <c r="N89">
        <v>0</v>
      </c>
      <c r="O89" t="s">
        <v>256</v>
      </c>
      <c r="P89"/>
      <c r="Q89"/>
      <c r="R89"/>
      <c r="S89"/>
      <c r="T89" t="s">
        <v>289</v>
      </c>
      <c r="U89"/>
    </row>
    <row r="90" spans="1:21" ht="15" customHeight="1" x14ac:dyDescent="0.25">
      <c r="A90" s="43">
        <v>60</v>
      </c>
      <c r="B90" s="43">
        <v>24</v>
      </c>
      <c r="C90" s="98">
        <v>0.375</v>
      </c>
      <c r="D90" s="43" t="s">
        <v>85</v>
      </c>
      <c r="E90" s="44">
        <v>1</v>
      </c>
      <c r="F90" t="s">
        <v>145</v>
      </c>
      <c r="G90"/>
      <c r="H90"/>
      <c r="I90"/>
      <c r="J90" s="72" t="s">
        <v>15</v>
      </c>
      <c r="K90" s="44" t="s">
        <v>8</v>
      </c>
      <c r="L90" s="46"/>
      <c r="M90" s="48">
        <v>45406</v>
      </c>
      <c r="N90">
        <v>1</v>
      </c>
      <c r="O90"/>
      <c r="P90">
        <v>163</v>
      </c>
      <c r="Q90"/>
      <c r="R90"/>
      <c r="S90"/>
      <c r="T90" t="s">
        <v>289</v>
      </c>
      <c r="U90">
        <v>-1</v>
      </c>
    </row>
    <row r="91" spans="1:21" ht="15" customHeight="1" x14ac:dyDescent="0.25">
      <c r="A91" s="43">
        <v>61</v>
      </c>
      <c r="B91" s="43">
        <v>24</v>
      </c>
      <c r="C91" s="98">
        <v>0.41666666666666669</v>
      </c>
      <c r="D91" s="43" t="s">
        <v>72</v>
      </c>
      <c r="E91" s="44">
        <v>1</v>
      </c>
      <c r="F91" t="s">
        <v>170</v>
      </c>
      <c r="G91" t="s">
        <v>171</v>
      </c>
      <c r="H91"/>
      <c r="I91"/>
      <c r="J91" s="72" t="s">
        <v>15</v>
      </c>
      <c r="K91" s="44" t="s">
        <v>8</v>
      </c>
      <c r="L91" s="46"/>
      <c r="M91" s="48">
        <v>45406</v>
      </c>
      <c r="N91">
        <v>2</v>
      </c>
      <c r="O91"/>
      <c r="P91">
        <v>209</v>
      </c>
      <c r="Q91">
        <v>167</v>
      </c>
      <c r="R91"/>
      <c r="S91"/>
      <c r="T91" t="s">
        <v>289</v>
      </c>
      <c r="U91">
        <v>-1</v>
      </c>
    </row>
    <row r="92" spans="1:21" ht="15" customHeight="1" x14ac:dyDescent="0.25">
      <c r="A92" s="43">
        <v>62</v>
      </c>
      <c r="B92" s="43">
        <v>24</v>
      </c>
      <c r="C92" s="98">
        <v>0.45833333333333331</v>
      </c>
      <c r="D92" s="43" t="s">
        <v>13</v>
      </c>
      <c r="E92" s="44">
        <v>1</v>
      </c>
      <c r="F92" t="s">
        <v>160</v>
      </c>
      <c r="G92"/>
      <c r="H92"/>
      <c r="I92"/>
      <c r="J92" s="72" t="s">
        <v>15</v>
      </c>
      <c r="K92" s="44" t="s">
        <v>8</v>
      </c>
      <c r="L92" s="46"/>
      <c r="M92" s="48">
        <v>45406</v>
      </c>
      <c r="N92">
        <v>1</v>
      </c>
      <c r="O92"/>
      <c r="P92">
        <v>47</v>
      </c>
      <c r="Q92"/>
      <c r="R92"/>
      <c r="S92"/>
      <c r="T92" t="s">
        <v>289</v>
      </c>
      <c r="U92">
        <v>-1</v>
      </c>
    </row>
    <row r="93" spans="1:21" ht="15" customHeight="1" x14ac:dyDescent="0.25">
      <c r="A93" s="43">
        <v>63</v>
      </c>
      <c r="B93" s="43">
        <v>24</v>
      </c>
      <c r="C93" s="98">
        <v>0.54166666666666663</v>
      </c>
      <c r="D93" s="43" t="s">
        <v>25</v>
      </c>
      <c r="E93" s="44">
        <v>1</v>
      </c>
      <c r="F93" t="s">
        <v>192</v>
      </c>
      <c r="G93"/>
      <c r="H93"/>
      <c r="I93"/>
      <c r="J93" s="72" t="s">
        <v>15</v>
      </c>
      <c r="K93" s="44" t="s">
        <v>8</v>
      </c>
      <c r="L93" s="46"/>
      <c r="M93" s="48">
        <v>45406</v>
      </c>
      <c r="N93">
        <v>1</v>
      </c>
      <c r="O93"/>
      <c r="P93">
        <v>122</v>
      </c>
      <c r="Q93"/>
      <c r="R93"/>
      <c r="S93"/>
      <c r="T93" t="s">
        <v>289</v>
      </c>
      <c r="U93">
        <v>-1</v>
      </c>
    </row>
    <row r="94" spans="1:21" ht="15" customHeight="1" x14ac:dyDescent="0.25">
      <c r="A94" s="43">
        <v>64</v>
      </c>
      <c r="B94" s="43">
        <v>24</v>
      </c>
      <c r="C94" s="98">
        <v>0.58333333333333337</v>
      </c>
      <c r="D94" s="43" t="s">
        <v>19</v>
      </c>
      <c r="E94" s="44">
        <v>1</v>
      </c>
      <c r="F94" t="s">
        <v>179</v>
      </c>
      <c r="G94" t="s">
        <v>180</v>
      </c>
      <c r="H94"/>
      <c r="I94"/>
      <c r="J94" s="72" t="s">
        <v>15</v>
      </c>
      <c r="K94" s="44" t="s">
        <v>8</v>
      </c>
      <c r="L94" s="46"/>
      <c r="M94" s="48">
        <v>45406</v>
      </c>
      <c r="N94">
        <v>2</v>
      </c>
      <c r="O94"/>
      <c r="P94">
        <v>132</v>
      </c>
      <c r="Q94">
        <v>53</v>
      </c>
      <c r="R94"/>
      <c r="S94"/>
      <c r="T94" t="s">
        <v>289</v>
      </c>
      <c r="U94">
        <v>-1</v>
      </c>
    </row>
    <row r="95" spans="1:21" ht="15" customHeight="1" x14ac:dyDescent="0.25">
      <c r="A95" s="43">
        <v>65</v>
      </c>
      <c r="B95" s="43">
        <v>24</v>
      </c>
      <c r="C95" s="98">
        <v>0.625</v>
      </c>
      <c r="D95" s="43" t="s">
        <v>9</v>
      </c>
      <c r="E95" s="44">
        <v>1</v>
      </c>
      <c r="F95" t="s">
        <v>206</v>
      </c>
      <c r="G95"/>
      <c r="H95"/>
      <c r="I95"/>
      <c r="J95" t="s">
        <v>21</v>
      </c>
      <c r="K95" s="44" t="s">
        <v>8</v>
      </c>
      <c r="L95" s="46"/>
      <c r="M95" s="48">
        <v>45406</v>
      </c>
      <c r="N95">
        <v>1</v>
      </c>
      <c r="O95" t="s">
        <v>253</v>
      </c>
      <c r="P95">
        <v>172</v>
      </c>
      <c r="Q95"/>
      <c r="R95"/>
      <c r="S95"/>
      <c r="T95" t="s">
        <v>289</v>
      </c>
      <c r="U95">
        <v>1</v>
      </c>
    </row>
    <row r="96" spans="1:21" ht="15" customHeight="1" x14ac:dyDescent="0.25">
      <c r="A96" s="43">
        <v>66</v>
      </c>
      <c r="B96" s="43">
        <v>24</v>
      </c>
      <c r="C96" s="98">
        <v>0.66666666666666663</v>
      </c>
      <c r="D96" s="43" t="s">
        <v>10</v>
      </c>
      <c r="E96" s="44">
        <v>1</v>
      </c>
      <c r="F96" t="s">
        <v>172</v>
      </c>
      <c r="G96"/>
      <c r="H96"/>
      <c r="I96"/>
      <c r="J96" s="72" t="s">
        <v>15</v>
      </c>
      <c r="K96" s="44" t="s">
        <v>8</v>
      </c>
      <c r="L96" s="46"/>
      <c r="M96" s="48">
        <v>45406</v>
      </c>
      <c r="N96">
        <v>1</v>
      </c>
      <c r="O96"/>
      <c r="P96">
        <v>251</v>
      </c>
      <c r="Q96"/>
      <c r="R96"/>
      <c r="S96"/>
      <c r="T96" t="s">
        <v>289</v>
      </c>
      <c r="U96">
        <v>-1</v>
      </c>
    </row>
    <row r="97" spans="1:21" ht="15" customHeight="1" x14ac:dyDescent="0.25">
      <c r="A97" s="43">
        <v>67</v>
      </c>
      <c r="B97" s="43">
        <v>25</v>
      </c>
      <c r="C97" s="98">
        <v>0.41666666666666669</v>
      </c>
      <c r="D97" s="43" t="s">
        <v>72</v>
      </c>
      <c r="E97" s="44">
        <v>1</v>
      </c>
      <c r="F97" t="s">
        <v>163</v>
      </c>
      <c r="G97"/>
      <c r="H97"/>
      <c r="I97"/>
      <c r="J97" s="72" t="s">
        <v>15</v>
      </c>
      <c r="K97" s="44" t="s">
        <v>8</v>
      </c>
      <c r="L97" s="46"/>
      <c r="M97" s="48">
        <v>45407</v>
      </c>
      <c r="N97">
        <v>1</v>
      </c>
      <c r="O97"/>
      <c r="P97">
        <v>38</v>
      </c>
      <c r="Q97"/>
      <c r="R97"/>
      <c r="S97"/>
      <c r="T97" t="s">
        <v>289</v>
      </c>
      <c r="U97">
        <v>-1</v>
      </c>
    </row>
    <row r="98" spans="1:21" ht="15" customHeight="1" x14ac:dyDescent="0.25">
      <c r="A98" s="43">
        <v>68</v>
      </c>
      <c r="B98" s="43">
        <v>25</v>
      </c>
      <c r="C98" s="98">
        <v>0.45833333333333331</v>
      </c>
      <c r="D98" s="43" t="s">
        <v>69</v>
      </c>
      <c r="E98" s="44">
        <v>1.5</v>
      </c>
      <c r="F98"/>
      <c r="G98"/>
      <c r="H98"/>
      <c r="I98"/>
      <c r="J98" s="76" t="s">
        <v>65</v>
      </c>
      <c r="K98" s="44" t="s">
        <v>8</v>
      </c>
      <c r="L98" s="46" t="s">
        <v>164</v>
      </c>
      <c r="M98" s="48">
        <v>45407</v>
      </c>
      <c r="N98" s="76">
        <v>0</v>
      </c>
      <c r="O98"/>
      <c r="P98"/>
      <c r="Q98"/>
      <c r="R98"/>
      <c r="S98"/>
      <c r="T98" t="s">
        <v>289</v>
      </c>
      <c r="U98">
        <v>-1</v>
      </c>
    </row>
    <row r="99" spans="1:21" ht="15" customHeight="1" x14ac:dyDescent="0.25">
      <c r="A99" s="43">
        <v>69</v>
      </c>
      <c r="B99" s="43">
        <v>25</v>
      </c>
      <c r="C99" s="98">
        <v>0.52083333333333337</v>
      </c>
      <c r="D99" s="43" t="s">
        <v>14</v>
      </c>
      <c r="E99" s="44">
        <v>1</v>
      </c>
      <c r="F99" t="s">
        <v>146</v>
      </c>
      <c r="G99"/>
      <c r="H99"/>
      <c r="I99"/>
      <c r="J99" s="72" t="s">
        <v>15</v>
      </c>
      <c r="K99" s="44" t="s">
        <v>8</v>
      </c>
      <c r="L99" s="46"/>
      <c r="M99" s="48">
        <v>45407</v>
      </c>
      <c r="N99">
        <v>1</v>
      </c>
      <c r="O99"/>
      <c r="P99">
        <v>103</v>
      </c>
      <c r="Q99"/>
      <c r="R99"/>
      <c r="S99"/>
      <c r="T99" t="s">
        <v>289</v>
      </c>
      <c r="U99">
        <v>-1</v>
      </c>
    </row>
    <row r="100" spans="1:21" ht="15" customHeight="1" x14ac:dyDescent="0.25">
      <c r="A100" s="43">
        <v>70</v>
      </c>
      <c r="B100" s="43">
        <v>25</v>
      </c>
      <c r="C100" s="98">
        <v>0.64583333333333337</v>
      </c>
      <c r="D100" s="43" t="s">
        <v>70</v>
      </c>
      <c r="E100" s="44">
        <v>1</v>
      </c>
      <c r="F100" t="s">
        <v>166</v>
      </c>
      <c r="G100" t="s">
        <v>167</v>
      </c>
      <c r="H100"/>
      <c r="I100"/>
      <c r="J100" s="72" t="s">
        <v>15</v>
      </c>
      <c r="K100" s="44" t="s">
        <v>8</v>
      </c>
      <c r="L100" s="46"/>
      <c r="M100" s="48">
        <v>45407</v>
      </c>
      <c r="N100">
        <v>2</v>
      </c>
      <c r="O100"/>
      <c r="P100">
        <v>185</v>
      </c>
      <c r="Q100">
        <v>58</v>
      </c>
      <c r="R100"/>
      <c r="S100"/>
      <c r="T100" t="s">
        <v>289</v>
      </c>
      <c r="U100">
        <v>-1</v>
      </c>
    </row>
    <row r="101" spans="1:21" ht="15" customHeight="1" x14ac:dyDescent="0.25">
      <c r="A101" s="43">
        <v>71</v>
      </c>
      <c r="B101" s="43">
        <v>29</v>
      </c>
      <c r="C101" s="98">
        <v>0.33333333333333331</v>
      </c>
      <c r="D101" s="43" t="s">
        <v>79</v>
      </c>
      <c r="E101" s="44">
        <v>1</v>
      </c>
      <c r="F101" t="s">
        <v>183</v>
      </c>
      <c r="G101"/>
      <c r="H101"/>
      <c r="I101"/>
      <c r="J101" s="72" t="s">
        <v>15</v>
      </c>
      <c r="K101" s="44" t="s">
        <v>8</v>
      </c>
      <c r="L101" s="46"/>
      <c r="M101" s="48">
        <v>45411</v>
      </c>
      <c r="N101">
        <v>1</v>
      </c>
      <c r="O101"/>
      <c r="P101">
        <v>121</v>
      </c>
      <c r="Q101"/>
      <c r="R101"/>
      <c r="S101"/>
      <c r="T101" t="s">
        <v>289</v>
      </c>
      <c r="U101">
        <v>-1</v>
      </c>
    </row>
    <row r="102" spans="1:21" ht="15" customHeight="1" x14ac:dyDescent="0.25">
      <c r="A102" s="43">
        <v>72</v>
      </c>
      <c r="B102" s="43">
        <v>29</v>
      </c>
      <c r="C102" s="98">
        <v>0.375</v>
      </c>
      <c r="D102" s="43" t="s">
        <v>85</v>
      </c>
      <c r="E102" s="44">
        <v>1</v>
      </c>
      <c r="F102" t="s">
        <v>145</v>
      </c>
      <c r="G102"/>
      <c r="H102"/>
      <c r="I102"/>
      <c r="J102" s="72" t="s">
        <v>15</v>
      </c>
      <c r="K102" s="44" t="s">
        <v>8</v>
      </c>
      <c r="L102" s="46"/>
      <c r="M102" s="48">
        <v>45411</v>
      </c>
      <c r="N102">
        <v>1</v>
      </c>
      <c r="O102"/>
      <c r="P102">
        <v>163</v>
      </c>
      <c r="Q102"/>
      <c r="R102"/>
      <c r="S102"/>
      <c r="T102" t="s">
        <v>289</v>
      </c>
      <c r="U102">
        <v>-1</v>
      </c>
    </row>
    <row r="103" spans="1:21" ht="15" customHeight="1" x14ac:dyDescent="0.25">
      <c r="A103" s="43">
        <v>73</v>
      </c>
      <c r="B103" s="43">
        <v>29</v>
      </c>
      <c r="C103" s="98">
        <v>0.41666666666666669</v>
      </c>
      <c r="D103" s="43" t="s">
        <v>93</v>
      </c>
      <c r="E103" s="44">
        <v>1.5</v>
      </c>
      <c r="F103"/>
      <c r="G103"/>
      <c r="H103"/>
      <c r="I103"/>
      <c r="J103" s="76" t="s">
        <v>65</v>
      </c>
      <c r="K103" s="44" t="s">
        <v>8</v>
      </c>
      <c r="L103" s="46" t="s">
        <v>158</v>
      </c>
      <c r="M103" s="48">
        <v>45411</v>
      </c>
      <c r="N103" s="76">
        <v>0</v>
      </c>
      <c r="O103"/>
      <c r="P103"/>
      <c r="Q103"/>
      <c r="R103"/>
      <c r="S103"/>
      <c r="T103" t="s">
        <v>289</v>
      </c>
      <c r="U103">
        <v>-1</v>
      </c>
    </row>
    <row r="104" spans="1:21" ht="15" customHeight="1" x14ac:dyDescent="0.25">
      <c r="A104" s="43">
        <v>74</v>
      </c>
      <c r="B104" s="43">
        <v>29</v>
      </c>
      <c r="C104" s="98">
        <v>0.47916666666666669</v>
      </c>
      <c r="D104" s="43" t="s">
        <v>69</v>
      </c>
      <c r="E104" s="44">
        <v>1</v>
      </c>
      <c r="F104" t="s">
        <v>159</v>
      </c>
      <c r="G104"/>
      <c r="H104"/>
      <c r="I104"/>
      <c r="J104" s="72" t="s">
        <v>15</v>
      </c>
      <c r="K104" s="44" t="s">
        <v>8</v>
      </c>
      <c r="L104" s="46"/>
      <c r="M104" s="48">
        <v>45411</v>
      </c>
      <c r="N104">
        <v>1</v>
      </c>
      <c r="O104"/>
      <c r="P104">
        <v>34</v>
      </c>
      <c r="Q104"/>
      <c r="R104"/>
      <c r="S104"/>
      <c r="T104" t="s">
        <v>289</v>
      </c>
      <c r="U104">
        <v>-1</v>
      </c>
    </row>
    <row r="105" spans="1:21" ht="15" customHeight="1" x14ac:dyDescent="0.25">
      <c r="A105" s="43">
        <v>75</v>
      </c>
      <c r="B105" s="43">
        <v>29</v>
      </c>
      <c r="C105" s="98">
        <v>0.64583333333333337</v>
      </c>
      <c r="D105" s="43" t="s">
        <v>10</v>
      </c>
      <c r="E105" s="44">
        <v>1.5</v>
      </c>
      <c r="F105"/>
      <c r="G105"/>
      <c r="H105"/>
      <c r="I105"/>
      <c r="J105" s="76" t="s">
        <v>65</v>
      </c>
      <c r="K105" s="44" t="s">
        <v>8</v>
      </c>
      <c r="L105" s="46" t="s">
        <v>158</v>
      </c>
      <c r="M105" s="48">
        <v>45411</v>
      </c>
      <c r="N105" s="76">
        <v>0</v>
      </c>
      <c r="O105"/>
      <c r="P105"/>
      <c r="Q105"/>
      <c r="R105"/>
      <c r="S105"/>
      <c r="T105" t="s">
        <v>289</v>
      </c>
      <c r="U105">
        <v>-1</v>
      </c>
    </row>
    <row r="106" spans="1:21" ht="15" x14ac:dyDescent="0.25">
      <c r="A106" s="43">
        <v>76</v>
      </c>
      <c r="B106" s="43">
        <v>29</v>
      </c>
      <c r="C106" s="98">
        <v>0.70833333333333337</v>
      </c>
      <c r="D106" s="43" t="s">
        <v>20</v>
      </c>
      <c r="E106" s="44">
        <v>1</v>
      </c>
      <c r="F106" t="s">
        <v>207</v>
      </c>
      <c r="G106"/>
      <c r="H106"/>
      <c r="I106"/>
      <c r="J106" s="72" t="s">
        <v>15</v>
      </c>
      <c r="K106" s="44" t="s">
        <v>8</v>
      </c>
      <c r="L106" s="46"/>
      <c r="M106" s="48">
        <v>45411</v>
      </c>
      <c r="N106">
        <v>1</v>
      </c>
      <c r="O106"/>
      <c r="P106">
        <v>190</v>
      </c>
      <c r="Q106"/>
      <c r="R106"/>
      <c r="S106"/>
      <c r="T106" t="s">
        <v>289</v>
      </c>
      <c r="U106">
        <v>-1</v>
      </c>
    </row>
    <row r="107" spans="1:21" ht="15" x14ac:dyDescent="0.25">
      <c r="A107" s="43">
        <v>77</v>
      </c>
      <c r="B107" s="43">
        <v>29</v>
      </c>
      <c r="C107" s="98">
        <v>0.77083333333333337</v>
      </c>
      <c r="D107" s="43" t="s">
        <v>22</v>
      </c>
      <c r="E107" s="44">
        <v>1</v>
      </c>
      <c r="F107" t="s">
        <v>185</v>
      </c>
      <c r="G107"/>
      <c r="H107"/>
      <c r="I107"/>
      <c r="J107" t="s">
        <v>21</v>
      </c>
      <c r="K107" s="44" t="s">
        <v>8</v>
      </c>
      <c r="L107" s="46"/>
      <c r="M107" s="48">
        <v>45411</v>
      </c>
      <c r="N107">
        <v>1</v>
      </c>
      <c r="O107" t="s">
        <v>253</v>
      </c>
      <c r="P107">
        <v>86</v>
      </c>
      <c r="Q107"/>
      <c r="R107"/>
      <c r="S107"/>
      <c r="T107" t="s">
        <v>289</v>
      </c>
      <c r="U107">
        <v>1</v>
      </c>
    </row>
    <row r="108" spans="1:21" ht="15" x14ac:dyDescent="0.25">
      <c r="A108" s="43">
        <v>78</v>
      </c>
      <c r="B108" s="43">
        <v>29</v>
      </c>
      <c r="C108" s="98">
        <v>0.83333333333333337</v>
      </c>
      <c r="D108" s="43" t="s">
        <v>17</v>
      </c>
      <c r="E108" s="44">
        <v>3</v>
      </c>
      <c r="F108"/>
      <c r="G108"/>
      <c r="H108"/>
      <c r="I108"/>
      <c r="J108" t="s">
        <v>18</v>
      </c>
      <c r="K108" s="44" t="s">
        <v>8</v>
      </c>
      <c r="L108" s="46"/>
      <c r="M108" s="48">
        <v>45411</v>
      </c>
      <c r="N108" s="76">
        <v>0</v>
      </c>
      <c r="O108" t="s">
        <v>256</v>
      </c>
      <c r="P108"/>
      <c r="Q108"/>
      <c r="R108"/>
      <c r="S108"/>
      <c r="T108" t="s">
        <v>289</v>
      </c>
      <c r="U108">
        <v>-1</v>
      </c>
    </row>
    <row r="109" spans="1:21" ht="15" x14ac:dyDescent="0.25">
      <c r="A109" s="43">
        <v>79</v>
      </c>
      <c r="B109" s="43">
        <v>30</v>
      </c>
      <c r="C109" s="98">
        <v>0.4375</v>
      </c>
      <c r="D109" s="43" t="s">
        <v>93</v>
      </c>
      <c r="E109" s="44">
        <v>1</v>
      </c>
      <c r="F109" t="s">
        <v>162</v>
      </c>
      <c r="G109" t="s">
        <v>161</v>
      </c>
      <c r="H109" t="s">
        <v>160</v>
      </c>
      <c r="I109"/>
      <c r="J109" s="72" t="s">
        <v>15</v>
      </c>
      <c r="K109" s="44" t="s">
        <v>8</v>
      </c>
      <c r="L109" s="46"/>
      <c r="M109" s="48">
        <v>45412</v>
      </c>
      <c r="N109">
        <v>3</v>
      </c>
      <c r="O109"/>
      <c r="P109">
        <v>195</v>
      </c>
      <c r="Q109">
        <v>201</v>
      </c>
      <c r="R109">
        <v>47</v>
      </c>
      <c r="S109"/>
      <c r="T109" t="s">
        <v>289</v>
      </c>
      <c r="U109">
        <v>-1</v>
      </c>
    </row>
    <row r="110" spans="1:21" ht="15" x14ac:dyDescent="0.25">
      <c r="A110" s="43">
        <v>80</v>
      </c>
      <c r="B110" s="43">
        <v>30</v>
      </c>
      <c r="C110" s="98">
        <v>0.47916666666666669</v>
      </c>
      <c r="D110" s="43" t="s">
        <v>69</v>
      </c>
      <c r="E110" s="44">
        <v>1</v>
      </c>
      <c r="F110" t="s">
        <v>160</v>
      </c>
      <c r="G110"/>
      <c r="H110"/>
      <c r="I110"/>
      <c r="J110" s="72" t="s">
        <v>15</v>
      </c>
      <c r="K110" s="44" t="s">
        <v>8</v>
      </c>
      <c r="L110" s="46"/>
      <c r="M110" s="48">
        <v>45412</v>
      </c>
      <c r="N110">
        <v>1</v>
      </c>
      <c r="O110"/>
      <c r="P110">
        <v>47</v>
      </c>
      <c r="Q110"/>
      <c r="R110"/>
      <c r="S110"/>
      <c r="T110" t="s">
        <v>289</v>
      </c>
      <c r="U110">
        <v>-1</v>
      </c>
    </row>
    <row r="111" spans="1:21" ht="15" x14ac:dyDescent="0.25">
      <c r="A111" s="43">
        <v>81</v>
      </c>
      <c r="B111" s="43">
        <v>30</v>
      </c>
      <c r="C111" s="98">
        <v>0.375</v>
      </c>
      <c r="D111" s="43" t="s">
        <v>85</v>
      </c>
      <c r="E111" s="44">
        <v>1</v>
      </c>
      <c r="F111" t="s">
        <v>186</v>
      </c>
      <c r="G111"/>
      <c r="H111"/>
      <c r="I111"/>
      <c r="J111" t="s">
        <v>21</v>
      </c>
      <c r="K111" s="44" t="s">
        <v>8</v>
      </c>
      <c r="L111" s="46"/>
      <c r="M111" s="48">
        <v>45412</v>
      </c>
      <c r="N111">
        <v>1</v>
      </c>
      <c r="O111" t="s">
        <v>253</v>
      </c>
      <c r="P111">
        <v>130</v>
      </c>
      <c r="Q111"/>
      <c r="R111"/>
      <c r="S111"/>
      <c r="T111" t="s">
        <v>289</v>
      </c>
      <c r="U111">
        <v>1</v>
      </c>
    </row>
  </sheetData>
  <mergeCells count="5">
    <mergeCell ref="J9:K10"/>
    <mergeCell ref="D10:D12"/>
    <mergeCell ref="E10:E12"/>
    <mergeCell ref="D15:D17"/>
    <mergeCell ref="E15:E17"/>
  </mergeCells>
  <phoneticPr fontId="21" type="noConversion"/>
  <conditionalFormatting sqref="U25:U111">
    <cfRule type="cellIs" dxfId="47" priority="1" stopIfTrue="1" operator="equal">
      <formula>-1</formula>
    </cfRule>
    <cfRule type="cellIs" dxfId="46" priority="2" stopIfTrue="1" operator="equal">
      <formula>1</formula>
    </cfRule>
    <cfRule type="cellIs" dxfId="45" priority="3" stopIfTrue="1" operator="equal">
      <formula>-2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80E83-7945-4661-A366-A370B3BFA7E0}">
  <sheetPr codeName="Hoja6"/>
  <dimension ref="A1:U110"/>
  <sheetViews>
    <sheetView topLeftCell="K92" zoomScale="94" zoomScaleNormal="100" workbookViewId="0">
      <selection activeCell="U110" sqref="U110"/>
    </sheetView>
  </sheetViews>
  <sheetFormatPr baseColWidth="10" defaultRowHeight="12.75" x14ac:dyDescent="0.2"/>
  <cols>
    <col min="1" max="1" width="5.7109375" style="17" customWidth="1"/>
    <col min="2" max="2" width="8.7109375" style="17" customWidth="1"/>
    <col min="3" max="3" width="7" style="17" customWidth="1"/>
    <col min="4" max="4" width="5.7109375" style="17" customWidth="1"/>
    <col min="5" max="5" width="11.85546875" style="17" customWidth="1"/>
    <col min="6" max="6" width="40.28515625" style="17" customWidth="1"/>
    <col min="7" max="7" width="23.140625" style="17" customWidth="1"/>
    <col min="8" max="8" width="19.28515625" style="17" customWidth="1"/>
    <col min="9" max="9" width="13.7109375" style="17" customWidth="1"/>
    <col min="10" max="10" width="21.28515625" style="17" customWidth="1"/>
    <col min="11" max="11" width="19.28515625" style="17" customWidth="1"/>
    <col min="12" max="12" width="24" style="17" customWidth="1"/>
    <col min="13" max="14" width="11.42578125" style="17"/>
    <col min="15" max="15" width="25.7109375" style="17" customWidth="1"/>
    <col min="16" max="18" width="11.42578125" style="17"/>
    <col min="19" max="19" width="23.28515625" style="17" customWidth="1"/>
    <col min="20" max="16384" width="11.42578125" style="17"/>
  </cols>
  <sheetData>
    <row r="1" spans="1:12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2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2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ht="13.5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MARZO</v>
      </c>
      <c r="K9" s="129"/>
      <c r="L9" s="19"/>
    </row>
    <row r="10" spans="1:12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</row>
    <row r="11" spans="1:12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21">
        <f>SUMIF(J25:J110,"=ESCUELA",E25:E110)</f>
        <v>13.5</v>
      </c>
      <c r="L11" s="19"/>
    </row>
    <row r="12" spans="1:12" ht="13.5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21">
        <f>SUMIF(J25:J110,"=BONO",E25:E110)</f>
        <v>41.5</v>
      </c>
      <c r="L12" s="19"/>
    </row>
    <row r="13" spans="1:12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21">
        <f>SUMIF(J25:J110,"=INFANTIL",E25:E110)</f>
        <v>0</v>
      </c>
      <c r="L13" s="19"/>
    </row>
    <row r="14" spans="1:12" ht="13.5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21">
        <f>SUMIF(J25:J110,"=CAPITANÍA",E25:E110)</f>
        <v>12</v>
      </c>
      <c r="L14" s="19"/>
    </row>
    <row r="15" spans="1:12" x14ac:dyDescent="0.2">
      <c r="A15" s="19"/>
      <c r="B15" s="19"/>
      <c r="C15" s="19"/>
      <c r="D15" s="138" t="s">
        <v>2</v>
      </c>
      <c r="E15" s="135" t="s">
        <v>84</v>
      </c>
      <c r="F15" s="19"/>
      <c r="G15" s="19"/>
      <c r="H15" s="19"/>
      <c r="I15" s="19"/>
      <c r="J15" s="20" t="s">
        <v>127</v>
      </c>
      <c r="K15" s="21">
        <f>SUMIF(J25:J110,"=PARTICULAR",E25:E110)</f>
        <v>7</v>
      </c>
      <c r="L15" s="19"/>
    </row>
    <row r="16" spans="1:12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21">
        <f>SUMIF(J25:J110,"=TORNEO",E25:E110)</f>
        <v>0</v>
      </c>
      <c r="L16" s="19"/>
    </row>
    <row r="17" spans="1:21" ht="13.5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21">
        <f>SUMIF(J25:J110,"=COMPETICIÓN",E25:E110)</f>
        <v>16.5</v>
      </c>
      <c r="L17" s="16"/>
    </row>
    <row r="18" spans="1:21" ht="2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21">
        <f>SUMIF(J25:J110,"=CLASE-PARTIDO",E25:E110)</f>
        <v>0</v>
      </c>
      <c r="L18" s="16"/>
    </row>
    <row r="19" spans="1:21" x14ac:dyDescent="0.2">
      <c r="C19" s="16"/>
      <c r="F19" s="16"/>
      <c r="G19" s="16"/>
      <c r="H19" s="16"/>
      <c r="I19" s="16"/>
      <c r="J19" s="23"/>
      <c r="K19" s="24">
        <f>SUM(K11:K18)</f>
        <v>90.5</v>
      </c>
      <c r="L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2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2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21" ht="13.5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21" ht="15" customHeight="1" thickTop="1" thickBot="1" x14ac:dyDescent="0.25">
      <c r="A24" s="51" t="s">
        <v>155</v>
      </c>
      <c r="B24" s="51" t="s">
        <v>156</v>
      </c>
      <c r="C24" s="86" t="s">
        <v>132</v>
      </c>
      <c r="D24" s="51" t="s">
        <v>133</v>
      </c>
      <c r="E24" s="28" t="s">
        <v>157</v>
      </c>
      <c r="F24" s="26" t="s">
        <v>134</v>
      </c>
      <c r="G24" s="26" t="s">
        <v>135</v>
      </c>
      <c r="H24" s="26" t="s">
        <v>136</v>
      </c>
      <c r="I24" s="26" t="s">
        <v>137</v>
      </c>
      <c r="J24" s="26" t="s">
        <v>3</v>
      </c>
      <c r="K24" s="42" t="s">
        <v>4</v>
      </c>
      <c r="L24" s="53" t="s">
        <v>138</v>
      </c>
      <c r="M24" s="74" t="s">
        <v>246</v>
      </c>
      <c r="N24" s="82" t="s">
        <v>290</v>
      </c>
      <c r="O24" s="85" t="s">
        <v>247</v>
      </c>
      <c r="P24" s="74" t="s">
        <v>248</v>
      </c>
      <c r="Q24" s="75" t="s">
        <v>249</v>
      </c>
      <c r="R24" s="75" t="s">
        <v>250</v>
      </c>
      <c r="S24" s="82" t="s">
        <v>251</v>
      </c>
      <c r="T24" s="83" t="s">
        <v>288</v>
      </c>
      <c r="U24" s="84" t="s">
        <v>252</v>
      </c>
    </row>
    <row r="25" spans="1:21" ht="15" customHeight="1" x14ac:dyDescent="0.25">
      <c r="A25" s="46">
        <v>1</v>
      </c>
      <c r="B25">
        <v>1</v>
      </c>
      <c r="C25" s="95">
        <v>0.33333333333333331</v>
      </c>
      <c r="D25" s="46" t="s">
        <v>79</v>
      </c>
      <c r="E25">
        <v>1</v>
      </c>
      <c r="F25" t="s">
        <v>183</v>
      </c>
      <c r="G25"/>
      <c r="H25"/>
      <c r="I25"/>
      <c r="J25" s="72" t="s">
        <v>15</v>
      </c>
      <c r="K25" s="44" t="s">
        <v>8</v>
      </c>
      <c r="L25" s="46"/>
      <c r="M25" s="48">
        <v>45352</v>
      </c>
      <c r="N25">
        <v>1</v>
      </c>
      <c r="O25"/>
      <c r="P25">
        <v>121</v>
      </c>
      <c r="Q25"/>
      <c r="R25"/>
      <c r="S25"/>
      <c r="T25" t="s">
        <v>289</v>
      </c>
      <c r="U25">
        <v>-1</v>
      </c>
    </row>
    <row r="26" spans="1:21" ht="15" customHeight="1" x14ac:dyDescent="0.25">
      <c r="A26" s="46">
        <v>2</v>
      </c>
      <c r="B26">
        <v>1</v>
      </c>
      <c r="C26" s="95">
        <v>0.375</v>
      </c>
      <c r="D26" s="46" t="s">
        <v>85</v>
      </c>
      <c r="E26">
        <v>1</v>
      </c>
      <c r="F26" t="s">
        <v>186</v>
      </c>
      <c r="G26"/>
      <c r="H26"/>
      <c r="I26"/>
      <c r="J26" s="72" t="s">
        <v>15</v>
      </c>
      <c r="K26" s="44" t="s">
        <v>8</v>
      </c>
      <c r="L26" s="46"/>
      <c r="M26" s="48">
        <v>45352</v>
      </c>
      <c r="N26">
        <v>1</v>
      </c>
      <c r="O26"/>
      <c r="P26">
        <v>130</v>
      </c>
      <c r="Q26"/>
      <c r="R26"/>
      <c r="S26"/>
      <c r="T26" t="s">
        <v>289</v>
      </c>
      <c r="U26">
        <v>-1</v>
      </c>
    </row>
    <row r="27" spans="1:21" ht="15" customHeight="1" x14ac:dyDescent="0.25">
      <c r="A27" s="46">
        <v>3</v>
      </c>
      <c r="B27">
        <v>1</v>
      </c>
      <c r="C27" s="95">
        <v>0.41666666666666669</v>
      </c>
      <c r="D27" s="46" t="s">
        <v>72</v>
      </c>
      <c r="E27">
        <v>1</v>
      </c>
      <c r="F27" t="s">
        <v>177</v>
      </c>
      <c r="G27"/>
      <c r="H27"/>
      <c r="I27"/>
      <c r="J27" s="72" t="s">
        <v>15</v>
      </c>
      <c r="K27" s="44" t="s">
        <v>8</v>
      </c>
      <c r="L27" s="46"/>
      <c r="M27" s="48">
        <v>45352</v>
      </c>
      <c r="N27">
        <v>1</v>
      </c>
      <c r="O27"/>
      <c r="P27">
        <v>212</v>
      </c>
      <c r="Q27"/>
      <c r="R27"/>
      <c r="S27"/>
      <c r="T27" t="s">
        <v>289</v>
      </c>
      <c r="U27">
        <v>-1</v>
      </c>
    </row>
    <row r="28" spans="1:21" ht="15" customHeight="1" x14ac:dyDescent="0.25">
      <c r="A28" s="46">
        <v>4</v>
      </c>
      <c r="B28">
        <v>4</v>
      </c>
      <c r="C28" s="95">
        <v>0.33333333333333331</v>
      </c>
      <c r="D28" s="46" t="s">
        <v>79</v>
      </c>
      <c r="E28">
        <v>1</v>
      </c>
      <c r="F28" t="s">
        <v>183</v>
      </c>
      <c r="G28"/>
      <c r="H28"/>
      <c r="I28"/>
      <c r="J28" s="72" t="s">
        <v>15</v>
      </c>
      <c r="K28" s="44" t="s">
        <v>8</v>
      </c>
      <c r="L28" s="46"/>
      <c r="M28" s="48">
        <v>45355</v>
      </c>
      <c r="N28">
        <v>1</v>
      </c>
      <c r="O28"/>
      <c r="P28">
        <v>121</v>
      </c>
      <c r="Q28"/>
      <c r="R28"/>
      <c r="S28"/>
      <c r="T28" t="s">
        <v>289</v>
      </c>
      <c r="U28">
        <v>-1</v>
      </c>
    </row>
    <row r="29" spans="1:21" ht="15" customHeight="1" x14ac:dyDescent="0.25">
      <c r="A29" s="87">
        <v>5</v>
      </c>
      <c r="B29" s="93">
        <v>4</v>
      </c>
      <c r="C29" s="97">
        <v>0.41666666666666669</v>
      </c>
      <c r="D29" s="87" t="s">
        <v>93</v>
      </c>
      <c r="E29" s="93">
        <v>1.5</v>
      </c>
      <c r="F29" s="76" t="s">
        <v>279</v>
      </c>
      <c r="G29"/>
      <c r="H29"/>
      <c r="I29"/>
      <c r="J29" s="76" t="s">
        <v>282</v>
      </c>
      <c r="K29" s="88" t="s">
        <v>8</v>
      </c>
      <c r="L29" s="87" t="s">
        <v>158</v>
      </c>
      <c r="M29"/>
      <c r="N29">
        <v>1</v>
      </c>
      <c r="O29"/>
      <c r="P29"/>
      <c r="Q29"/>
      <c r="R29"/>
      <c r="S29"/>
      <c r="T29" t="s">
        <v>289</v>
      </c>
      <c r="U29">
        <v>-1</v>
      </c>
    </row>
    <row r="30" spans="1:21" ht="15" customHeight="1" x14ac:dyDescent="0.25">
      <c r="A30" s="56" t="s">
        <v>278</v>
      </c>
      <c r="B30" s="58">
        <v>4</v>
      </c>
      <c r="C30" s="96">
        <v>0.41666666666666669</v>
      </c>
      <c r="D30" s="56" t="s">
        <v>93</v>
      </c>
      <c r="E30" s="58">
        <v>1.5</v>
      </c>
      <c r="F30" t="s">
        <v>263</v>
      </c>
      <c r="G30"/>
      <c r="H30"/>
      <c r="I30"/>
      <c r="J30" t="s">
        <v>275</v>
      </c>
      <c r="K30" s="57" t="s">
        <v>8</v>
      </c>
      <c r="L30" s="56" t="s">
        <v>158</v>
      </c>
      <c r="M30" s="48">
        <v>45355</v>
      </c>
      <c r="N30">
        <v>1</v>
      </c>
      <c r="O30" t="s">
        <v>293</v>
      </c>
      <c r="P30">
        <v>94</v>
      </c>
      <c r="Q30"/>
      <c r="R30"/>
      <c r="S30"/>
      <c r="T30" t="s">
        <v>289</v>
      </c>
      <c r="U30">
        <v>1</v>
      </c>
    </row>
    <row r="31" spans="1:21" ht="15" customHeight="1" x14ac:dyDescent="0.25">
      <c r="A31" s="56" t="s">
        <v>278</v>
      </c>
      <c r="B31" s="58">
        <v>4</v>
      </c>
      <c r="C31" s="96">
        <v>0.41666666666666669</v>
      </c>
      <c r="D31" s="56" t="s">
        <v>93</v>
      </c>
      <c r="E31" s="58">
        <v>1.5</v>
      </c>
      <c r="F31" t="s">
        <v>264</v>
      </c>
      <c r="G31"/>
      <c r="H31"/>
      <c r="I31"/>
      <c r="J31" t="s">
        <v>275</v>
      </c>
      <c r="K31" s="57" t="s">
        <v>8</v>
      </c>
      <c r="L31" s="56" t="s">
        <v>158</v>
      </c>
      <c r="M31" s="48">
        <v>45355</v>
      </c>
      <c r="N31">
        <v>1</v>
      </c>
      <c r="O31" t="s">
        <v>293</v>
      </c>
      <c r="P31">
        <v>95</v>
      </c>
      <c r="Q31"/>
      <c r="R31"/>
      <c r="S31"/>
      <c r="T31" t="s">
        <v>289</v>
      </c>
      <c r="U31">
        <v>1</v>
      </c>
    </row>
    <row r="32" spans="1:21" ht="15" customHeight="1" x14ac:dyDescent="0.25">
      <c r="A32" s="56" t="s">
        <v>278</v>
      </c>
      <c r="B32" s="58">
        <v>4</v>
      </c>
      <c r="C32" s="96">
        <v>0.41666666666666669</v>
      </c>
      <c r="D32" s="56" t="s">
        <v>93</v>
      </c>
      <c r="E32" s="58">
        <v>1.5</v>
      </c>
      <c r="F32" t="s">
        <v>265</v>
      </c>
      <c r="G32"/>
      <c r="H32"/>
      <c r="I32"/>
      <c r="J32" t="s">
        <v>275</v>
      </c>
      <c r="K32" s="57" t="s">
        <v>8</v>
      </c>
      <c r="L32" s="56" t="s">
        <v>158</v>
      </c>
      <c r="M32" s="48">
        <v>45355</v>
      </c>
      <c r="N32">
        <v>1</v>
      </c>
      <c r="O32" t="s">
        <v>293</v>
      </c>
      <c r="P32">
        <v>96</v>
      </c>
      <c r="Q32"/>
      <c r="R32"/>
      <c r="S32"/>
      <c r="T32" t="s">
        <v>289</v>
      </c>
      <c r="U32">
        <v>-2</v>
      </c>
    </row>
    <row r="33" spans="1:21" ht="15" customHeight="1" x14ac:dyDescent="0.25">
      <c r="A33" s="46">
        <v>6</v>
      </c>
      <c r="B33">
        <v>4</v>
      </c>
      <c r="C33" s="95">
        <v>0.47916666666666669</v>
      </c>
      <c r="D33" s="46" t="s">
        <v>69</v>
      </c>
      <c r="E33">
        <v>1</v>
      </c>
      <c r="F33" t="s">
        <v>184</v>
      </c>
      <c r="G33"/>
      <c r="H33"/>
      <c r="I33"/>
      <c r="J33" t="s">
        <v>21</v>
      </c>
      <c r="K33" s="44" t="s">
        <v>8</v>
      </c>
      <c r="L33" s="46"/>
      <c r="M33" s="48">
        <v>45355</v>
      </c>
      <c r="N33">
        <v>1</v>
      </c>
      <c r="O33" t="s">
        <v>253</v>
      </c>
      <c r="P33">
        <v>69</v>
      </c>
      <c r="Q33"/>
      <c r="R33"/>
      <c r="S33"/>
      <c r="T33" t="s">
        <v>289</v>
      </c>
      <c r="U33">
        <v>1</v>
      </c>
    </row>
    <row r="34" spans="1:21" ht="15" customHeight="1" x14ac:dyDescent="0.25">
      <c r="A34" s="46">
        <v>7</v>
      </c>
      <c r="B34">
        <v>4</v>
      </c>
      <c r="C34" s="95">
        <v>0.66666666666666663</v>
      </c>
      <c r="D34" s="46" t="s">
        <v>10</v>
      </c>
      <c r="E34">
        <v>1</v>
      </c>
      <c r="F34" t="s">
        <v>198</v>
      </c>
      <c r="G34"/>
      <c r="H34"/>
      <c r="I34"/>
      <c r="J34" s="72" t="s">
        <v>15</v>
      </c>
      <c r="K34" s="44" t="s">
        <v>8</v>
      </c>
      <c r="L34" s="46"/>
      <c r="M34" s="48">
        <v>45355</v>
      </c>
      <c r="N34">
        <v>1</v>
      </c>
      <c r="O34"/>
      <c r="P34">
        <v>115</v>
      </c>
      <c r="Q34"/>
      <c r="R34"/>
      <c r="S34"/>
      <c r="T34" t="s">
        <v>289</v>
      </c>
      <c r="U34">
        <v>-1</v>
      </c>
    </row>
    <row r="35" spans="1:21" ht="15" customHeight="1" x14ac:dyDescent="0.25">
      <c r="A35" s="46">
        <v>8</v>
      </c>
      <c r="B35">
        <v>4</v>
      </c>
      <c r="C35" s="95">
        <v>0.72916666666666663</v>
      </c>
      <c r="D35" s="46" t="s">
        <v>6</v>
      </c>
      <c r="E35">
        <v>1</v>
      </c>
      <c r="F35" t="s">
        <v>207</v>
      </c>
      <c r="G35"/>
      <c r="H35"/>
      <c r="I35"/>
      <c r="J35" s="72" t="s">
        <v>15</v>
      </c>
      <c r="K35" s="44" t="s">
        <v>8</v>
      </c>
      <c r="L35" s="46"/>
      <c r="M35" s="48">
        <v>45355</v>
      </c>
      <c r="N35">
        <v>1</v>
      </c>
      <c r="O35"/>
      <c r="P35">
        <v>190</v>
      </c>
      <c r="Q35"/>
      <c r="R35"/>
      <c r="S35"/>
      <c r="T35" t="s">
        <v>289</v>
      </c>
      <c r="U35">
        <v>-1</v>
      </c>
    </row>
    <row r="36" spans="1:21" ht="15" customHeight="1" x14ac:dyDescent="0.25">
      <c r="A36" s="46">
        <v>9</v>
      </c>
      <c r="B36">
        <v>4</v>
      </c>
      <c r="C36" s="95">
        <v>0.77083333333333337</v>
      </c>
      <c r="D36" s="46" t="s">
        <v>22</v>
      </c>
      <c r="E36">
        <v>1</v>
      </c>
      <c r="F36" t="s">
        <v>208</v>
      </c>
      <c r="G36"/>
      <c r="H36"/>
      <c r="I36"/>
      <c r="J36" s="72" t="s">
        <v>15</v>
      </c>
      <c r="K36" s="44" t="s">
        <v>8</v>
      </c>
      <c r="L36" s="46"/>
      <c r="M36" s="48">
        <v>45355</v>
      </c>
      <c r="N36">
        <v>1</v>
      </c>
      <c r="O36"/>
      <c r="P36">
        <v>123</v>
      </c>
      <c r="Q36"/>
      <c r="R36"/>
      <c r="S36"/>
      <c r="T36" t="s">
        <v>289</v>
      </c>
      <c r="U36">
        <v>-1</v>
      </c>
    </row>
    <row r="37" spans="1:21" ht="15" customHeight="1" x14ac:dyDescent="0.25">
      <c r="A37" s="46">
        <v>10</v>
      </c>
      <c r="B37">
        <v>5</v>
      </c>
      <c r="C37" s="95">
        <v>0.4375</v>
      </c>
      <c r="D37" s="46" t="s">
        <v>93</v>
      </c>
      <c r="E37">
        <v>1</v>
      </c>
      <c r="F37" t="s">
        <v>161</v>
      </c>
      <c r="G37" t="s">
        <v>162</v>
      </c>
      <c r="H37"/>
      <c r="I37"/>
      <c r="J37" s="72" t="s">
        <v>15</v>
      </c>
      <c r="K37" s="44" t="s">
        <v>8</v>
      </c>
      <c r="L37" s="46"/>
      <c r="M37" s="48">
        <v>45356</v>
      </c>
      <c r="N37">
        <v>2</v>
      </c>
      <c r="O37"/>
      <c r="P37">
        <v>201</v>
      </c>
      <c r="Q37">
        <v>195</v>
      </c>
      <c r="R37"/>
      <c r="S37"/>
      <c r="T37" t="s">
        <v>289</v>
      </c>
      <c r="U37">
        <v>-1</v>
      </c>
    </row>
    <row r="38" spans="1:21" ht="15" customHeight="1" x14ac:dyDescent="0.25">
      <c r="A38" s="46">
        <v>11</v>
      </c>
      <c r="B38">
        <v>5</v>
      </c>
      <c r="C38" s="95">
        <v>0.54166666666666663</v>
      </c>
      <c r="D38" s="46" t="s">
        <v>25</v>
      </c>
      <c r="E38">
        <v>1</v>
      </c>
      <c r="F38" t="s">
        <v>204</v>
      </c>
      <c r="G38"/>
      <c r="H38"/>
      <c r="I38"/>
      <c r="J38" s="72" t="s">
        <v>15</v>
      </c>
      <c r="K38" s="44" t="s">
        <v>8</v>
      </c>
      <c r="L38" s="46"/>
      <c r="M38" s="48">
        <v>45356</v>
      </c>
      <c r="N38">
        <v>1</v>
      </c>
      <c r="O38"/>
      <c r="P38">
        <v>120</v>
      </c>
      <c r="Q38"/>
      <c r="R38"/>
      <c r="S38"/>
      <c r="T38" t="s">
        <v>289</v>
      </c>
      <c r="U38">
        <v>-1</v>
      </c>
    </row>
    <row r="39" spans="1:21" ht="15" customHeight="1" x14ac:dyDescent="0.25">
      <c r="A39" s="46">
        <v>12</v>
      </c>
      <c r="B39">
        <v>5</v>
      </c>
      <c r="C39" s="95">
        <v>0.625</v>
      </c>
      <c r="D39" s="46" t="s">
        <v>20</v>
      </c>
      <c r="E39">
        <v>3</v>
      </c>
      <c r="F39"/>
      <c r="G39"/>
      <c r="H39"/>
      <c r="I39"/>
      <c r="J39" t="s">
        <v>18</v>
      </c>
      <c r="K39" s="44" t="s">
        <v>8</v>
      </c>
      <c r="L39" s="46" t="s">
        <v>158</v>
      </c>
      <c r="M39" s="48">
        <v>45356</v>
      </c>
      <c r="N39">
        <v>0</v>
      </c>
      <c r="O39" t="s">
        <v>256</v>
      </c>
      <c r="P39"/>
      <c r="Q39"/>
      <c r="R39"/>
      <c r="S39"/>
      <c r="T39" t="s">
        <v>289</v>
      </c>
      <c r="U39"/>
    </row>
    <row r="40" spans="1:21" ht="15" customHeight="1" x14ac:dyDescent="0.25">
      <c r="A40" s="46">
        <v>13</v>
      </c>
      <c r="B40">
        <v>6</v>
      </c>
      <c r="C40" s="95">
        <v>0.33333333333333331</v>
      </c>
      <c r="D40" s="46" t="s">
        <v>79</v>
      </c>
      <c r="E40">
        <v>1</v>
      </c>
      <c r="F40" t="s">
        <v>183</v>
      </c>
      <c r="G40"/>
      <c r="H40"/>
      <c r="I40"/>
      <c r="J40" t="s">
        <v>258</v>
      </c>
      <c r="K40" s="44" t="s">
        <v>8</v>
      </c>
      <c r="L40" s="46"/>
      <c r="M40" s="48">
        <v>45357</v>
      </c>
      <c r="N40">
        <v>1</v>
      </c>
      <c r="O40" t="s">
        <v>287</v>
      </c>
      <c r="P40">
        <v>121</v>
      </c>
      <c r="Q40"/>
      <c r="R40"/>
      <c r="S40"/>
      <c r="T40" t="s">
        <v>289</v>
      </c>
      <c r="U40">
        <v>1</v>
      </c>
    </row>
    <row r="41" spans="1:21" ht="15" customHeight="1" x14ac:dyDescent="0.25">
      <c r="A41" s="46">
        <v>14</v>
      </c>
      <c r="B41">
        <v>6</v>
      </c>
      <c r="C41" s="95">
        <v>0.375</v>
      </c>
      <c r="D41" s="46" t="s">
        <v>85</v>
      </c>
      <c r="E41">
        <v>1</v>
      </c>
      <c r="F41" t="s">
        <v>145</v>
      </c>
      <c r="G41"/>
      <c r="H41"/>
      <c r="I41"/>
      <c r="J41" s="72" t="s">
        <v>15</v>
      </c>
      <c r="K41" s="44" t="s">
        <v>8</v>
      </c>
      <c r="L41" s="46"/>
      <c r="M41" s="48">
        <v>45357</v>
      </c>
      <c r="N41">
        <v>1</v>
      </c>
      <c r="O41"/>
      <c r="P41">
        <v>163</v>
      </c>
      <c r="Q41"/>
      <c r="R41"/>
      <c r="S41"/>
      <c r="T41" t="s">
        <v>289</v>
      </c>
      <c r="U41">
        <v>-1</v>
      </c>
    </row>
    <row r="42" spans="1:21" ht="15" customHeight="1" x14ac:dyDescent="0.25">
      <c r="A42" s="46">
        <v>15</v>
      </c>
      <c r="B42">
        <v>6</v>
      </c>
      <c r="C42" s="95">
        <v>0.41666666666666669</v>
      </c>
      <c r="D42" s="46" t="s">
        <v>72</v>
      </c>
      <c r="E42">
        <v>1</v>
      </c>
      <c r="F42" t="s">
        <v>170</v>
      </c>
      <c r="G42" t="s">
        <v>171</v>
      </c>
      <c r="H42"/>
      <c r="I42"/>
      <c r="J42" s="72" t="s">
        <v>15</v>
      </c>
      <c r="K42" s="44" t="s">
        <v>8</v>
      </c>
      <c r="L42" s="46"/>
      <c r="M42" s="48">
        <v>45357</v>
      </c>
      <c r="N42">
        <v>2</v>
      </c>
      <c r="O42"/>
      <c r="P42">
        <v>209</v>
      </c>
      <c r="Q42">
        <v>167</v>
      </c>
      <c r="R42"/>
      <c r="S42"/>
      <c r="T42" t="s">
        <v>289</v>
      </c>
      <c r="U42">
        <v>-1</v>
      </c>
    </row>
    <row r="43" spans="1:21" ht="15" customHeight="1" x14ac:dyDescent="0.25">
      <c r="A43" s="46">
        <v>16</v>
      </c>
      <c r="B43">
        <v>6</v>
      </c>
      <c r="C43" s="95">
        <v>0.45833333333333331</v>
      </c>
      <c r="D43" s="46" t="s">
        <v>13</v>
      </c>
      <c r="E43">
        <v>1</v>
      </c>
      <c r="F43" t="s">
        <v>159</v>
      </c>
      <c r="G43"/>
      <c r="H43"/>
      <c r="I43"/>
      <c r="J43" s="72" t="s">
        <v>15</v>
      </c>
      <c r="K43" s="44" t="s">
        <v>8</v>
      </c>
      <c r="L43" s="46"/>
      <c r="M43" s="48">
        <v>45357</v>
      </c>
      <c r="N43">
        <v>1</v>
      </c>
      <c r="O43"/>
      <c r="P43">
        <v>34</v>
      </c>
      <c r="Q43"/>
      <c r="R43"/>
      <c r="S43"/>
      <c r="T43" t="s">
        <v>289</v>
      </c>
      <c r="U43">
        <v>-1</v>
      </c>
    </row>
    <row r="44" spans="1:21" ht="15" customHeight="1" x14ac:dyDescent="0.25">
      <c r="A44" s="46">
        <v>17</v>
      </c>
      <c r="B44">
        <v>6</v>
      </c>
      <c r="C44" s="95">
        <v>0.72916666666666663</v>
      </c>
      <c r="D44" s="46" t="s">
        <v>6</v>
      </c>
      <c r="E44">
        <v>1</v>
      </c>
      <c r="F44" t="s">
        <v>209</v>
      </c>
      <c r="G44" t="s">
        <v>210</v>
      </c>
      <c r="H44"/>
      <c r="I44"/>
      <c r="J44" t="s">
        <v>7</v>
      </c>
      <c r="K44" s="44" t="s">
        <v>8</v>
      </c>
      <c r="L44" s="46"/>
      <c r="M44" s="48">
        <v>45357</v>
      </c>
      <c r="N44">
        <v>2</v>
      </c>
      <c r="O44" t="s">
        <v>254</v>
      </c>
      <c r="P44">
        <v>241</v>
      </c>
      <c r="Q44">
        <v>137</v>
      </c>
      <c r="R44"/>
      <c r="S44"/>
      <c r="T44" t="s">
        <v>289</v>
      </c>
      <c r="U44">
        <v>1</v>
      </c>
    </row>
    <row r="45" spans="1:21" ht="15" customHeight="1" x14ac:dyDescent="0.25">
      <c r="A45" s="46">
        <v>18</v>
      </c>
      <c r="B45">
        <v>6</v>
      </c>
      <c r="C45" s="95">
        <v>0.77083333333333337</v>
      </c>
      <c r="D45" s="46" t="s">
        <v>16</v>
      </c>
      <c r="E45">
        <v>1.5</v>
      </c>
      <c r="F45" t="s">
        <v>211</v>
      </c>
      <c r="G45" t="s">
        <v>212</v>
      </c>
      <c r="H45" t="s">
        <v>213</v>
      </c>
      <c r="I45"/>
      <c r="J45" t="s">
        <v>7</v>
      </c>
      <c r="K45" s="44" t="s">
        <v>8</v>
      </c>
      <c r="L45" s="46"/>
      <c r="M45" s="48">
        <v>45357</v>
      </c>
      <c r="N45">
        <v>3</v>
      </c>
      <c r="O45" t="s">
        <v>262</v>
      </c>
      <c r="P45">
        <v>45</v>
      </c>
      <c r="Q45">
        <v>14</v>
      </c>
      <c r="R45">
        <v>20</v>
      </c>
      <c r="S45"/>
      <c r="T45" t="s">
        <v>289</v>
      </c>
      <c r="U45">
        <v>1</v>
      </c>
    </row>
    <row r="46" spans="1:21" ht="15" customHeight="1" x14ac:dyDescent="0.25">
      <c r="A46" s="46">
        <v>19</v>
      </c>
      <c r="B46">
        <v>6</v>
      </c>
      <c r="C46" s="95">
        <v>0.83333333333333337</v>
      </c>
      <c r="D46" s="46" t="s">
        <v>68</v>
      </c>
      <c r="E46">
        <v>1.5</v>
      </c>
      <c r="F46" t="s">
        <v>214</v>
      </c>
      <c r="G46" t="s">
        <v>215</v>
      </c>
      <c r="H46" t="s">
        <v>216</v>
      </c>
      <c r="I46" t="s">
        <v>217</v>
      </c>
      <c r="J46" t="s">
        <v>7</v>
      </c>
      <c r="K46" s="44" t="s">
        <v>8</v>
      </c>
      <c r="L46" s="46"/>
      <c r="M46" s="48">
        <v>45357</v>
      </c>
      <c r="N46">
        <v>4</v>
      </c>
      <c r="O46" t="s">
        <v>257</v>
      </c>
      <c r="P46">
        <v>124</v>
      </c>
      <c r="Q46">
        <v>101</v>
      </c>
      <c r="R46">
        <v>60</v>
      </c>
      <c r="S46">
        <v>147</v>
      </c>
      <c r="T46" t="s">
        <v>289</v>
      </c>
      <c r="U46">
        <v>1</v>
      </c>
    </row>
    <row r="47" spans="1:21" ht="15" customHeight="1" x14ac:dyDescent="0.25">
      <c r="A47" s="46">
        <v>20</v>
      </c>
      <c r="B47">
        <v>7</v>
      </c>
      <c r="C47" s="95">
        <v>0.41666666666666669</v>
      </c>
      <c r="D47" s="46" t="s">
        <v>72</v>
      </c>
      <c r="E47">
        <v>1</v>
      </c>
      <c r="F47" t="s">
        <v>163</v>
      </c>
      <c r="G47"/>
      <c r="H47"/>
      <c r="I47"/>
      <c r="J47" s="72" t="s">
        <v>15</v>
      </c>
      <c r="K47" s="44" t="s">
        <v>8</v>
      </c>
      <c r="L47" s="46"/>
      <c r="M47" s="48">
        <v>45358</v>
      </c>
      <c r="N47">
        <v>1</v>
      </c>
      <c r="O47"/>
      <c r="P47">
        <v>38</v>
      </c>
      <c r="Q47"/>
      <c r="R47"/>
      <c r="S47"/>
      <c r="T47" t="s">
        <v>289</v>
      </c>
      <c r="U47">
        <v>-1</v>
      </c>
    </row>
    <row r="48" spans="1:21" ht="15" customHeight="1" x14ac:dyDescent="0.25">
      <c r="A48" s="46">
        <v>21</v>
      </c>
      <c r="B48">
        <v>7</v>
      </c>
      <c r="C48" s="95">
        <v>0.45833333333333331</v>
      </c>
      <c r="D48" s="46" t="s">
        <v>69</v>
      </c>
      <c r="E48">
        <v>1.5</v>
      </c>
      <c r="F48"/>
      <c r="G48"/>
      <c r="H48"/>
      <c r="I48"/>
      <c r="J48" s="76" t="s">
        <v>65</v>
      </c>
      <c r="K48" s="44" t="s">
        <v>8</v>
      </c>
      <c r="L48" s="46" t="s">
        <v>164</v>
      </c>
      <c r="M48" s="48">
        <v>45358</v>
      </c>
      <c r="N48" s="76">
        <v>0</v>
      </c>
      <c r="O48"/>
      <c r="P48"/>
      <c r="Q48"/>
      <c r="R48"/>
      <c r="S48"/>
      <c r="T48" t="s">
        <v>289</v>
      </c>
      <c r="U48">
        <v>-1</v>
      </c>
    </row>
    <row r="49" spans="1:21" ht="15" customHeight="1" x14ac:dyDescent="0.25">
      <c r="A49" s="46">
        <v>22</v>
      </c>
      <c r="B49">
        <v>7</v>
      </c>
      <c r="C49" s="95">
        <v>0.70833333333333337</v>
      </c>
      <c r="D49" s="46" t="s">
        <v>6</v>
      </c>
      <c r="E49">
        <v>1.5</v>
      </c>
      <c r="F49" t="s">
        <v>218</v>
      </c>
      <c r="G49"/>
      <c r="H49"/>
      <c r="I49"/>
      <c r="J49" s="76" t="s">
        <v>7</v>
      </c>
      <c r="K49" s="44" t="s">
        <v>8</v>
      </c>
      <c r="L49" s="46" t="s">
        <v>219</v>
      </c>
      <c r="M49" s="48">
        <v>45358</v>
      </c>
      <c r="N49">
        <v>1</v>
      </c>
      <c r="O49"/>
      <c r="P49">
        <v>19</v>
      </c>
      <c r="Q49"/>
      <c r="R49"/>
      <c r="S49"/>
      <c r="T49" t="s">
        <v>289</v>
      </c>
      <c r="U49">
        <v>-1</v>
      </c>
    </row>
    <row r="50" spans="1:21" ht="15" customHeight="1" x14ac:dyDescent="0.25">
      <c r="A50" s="46">
        <v>23</v>
      </c>
      <c r="B50">
        <v>7</v>
      </c>
      <c r="C50" s="95">
        <v>0.79166666666666663</v>
      </c>
      <c r="D50" s="46" t="s">
        <v>12</v>
      </c>
      <c r="E50">
        <v>3</v>
      </c>
      <c r="F50"/>
      <c r="G50"/>
      <c r="H50"/>
      <c r="I50"/>
      <c r="J50" s="76" t="s">
        <v>65</v>
      </c>
      <c r="K50" s="44" t="s">
        <v>8</v>
      </c>
      <c r="L50" s="46" t="s">
        <v>219</v>
      </c>
      <c r="M50" s="48">
        <v>45358</v>
      </c>
      <c r="N50" s="76">
        <v>0</v>
      </c>
      <c r="O50"/>
      <c r="P50"/>
      <c r="Q50"/>
      <c r="R50"/>
      <c r="S50"/>
      <c r="T50" t="s">
        <v>289</v>
      </c>
      <c r="U50">
        <v>-1</v>
      </c>
    </row>
    <row r="51" spans="1:21" ht="15" customHeight="1" x14ac:dyDescent="0.25">
      <c r="A51" s="46">
        <v>24</v>
      </c>
      <c r="B51">
        <v>8</v>
      </c>
      <c r="C51" s="95">
        <v>0.33333333333333331</v>
      </c>
      <c r="D51" s="46" t="s">
        <v>79</v>
      </c>
      <c r="E51">
        <v>1</v>
      </c>
      <c r="F51" t="s">
        <v>183</v>
      </c>
      <c r="G51"/>
      <c r="H51"/>
      <c r="I51"/>
      <c r="J51" s="72" t="s">
        <v>15</v>
      </c>
      <c r="K51" s="44" t="s">
        <v>8</v>
      </c>
      <c r="L51" s="46"/>
      <c r="M51" s="48">
        <v>45359</v>
      </c>
      <c r="N51">
        <v>1</v>
      </c>
      <c r="O51"/>
      <c r="P51">
        <v>121</v>
      </c>
      <c r="Q51"/>
      <c r="R51"/>
      <c r="S51"/>
      <c r="T51" t="s">
        <v>289</v>
      </c>
      <c r="U51">
        <v>-1</v>
      </c>
    </row>
    <row r="52" spans="1:21" ht="15" customHeight="1" x14ac:dyDescent="0.25">
      <c r="A52" s="46">
        <v>25</v>
      </c>
      <c r="B52">
        <v>11</v>
      </c>
      <c r="C52" s="95">
        <v>0.33333333333333331</v>
      </c>
      <c r="D52" s="46" t="s">
        <v>79</v>
      </c>
      <c r="E52">
        <v>1</v>
      </c>
      <c r="F52" t="s">
        <v>183</v>
      </c>
      <c r="G52"/>
      <c r="H52"/>
      <c r="I52"/>
      <c r="J52" s="72" t="s">
        <v>15</v>
      </c>
      <c r="K52" s="44" t="s">
        <v>8</v>
      </c>
      <c r="L52" s="46"/>
      <c r="M52" s="48">
        <v>45362</v>
      </c>
      <c r="N52">
        <v>1</v>
      </c>
      <c r="O52"/>
      <c r="P52">
        <v>121</v>
      </c>
      <c r="Q52"/>
      <c r="R52"/>
      <c r="S52"/>
      <c r="T52" t="s">
        <v>289</v>
      </c>
      <c r="U52">
        <v>-1</v>
      </c>
    </row>
    <row r="53" spans="1:21" ht="15" customHeight="1" x14ac:dyDescent="0.25">
      <c r="A53" s="87">
        <v>26</v>
      </c>
      <c r="B53" s="93">
        <v>11</v>
      </c>
      <c r="C53" s="97">
        <v>0.41666666666666669</v>
      </c>
      <c r="D53" s="87" t="s">
        <v>93</v>
      </c>
      <c r="E53" s="93">
        <v>1.5</v>
      </c>
      <c r="F53" s="76" t="s">
        <v>286</v>
      </c>
      <c r="G53"/>
      <c r="H53"/>
      <c r="I53"/>
      <c r="J53" s="76" t="s">
        <v>277</v>
      </c>
      <c r="K53" s="88" t="s">
        <v>8</v>
      </c>
      <c r="L53" s="87" t="s">
        <v>158</v>
      </c>
      <c r="M53"/>
      <c r="N53">
        <v>1</v>
      </c>
      <c r="O53"/>
      <c r="P53"/>
      <c r="Q53"/>
      <c r="R53"/>
      <c r="S53"/>
      <c r="T53" t="s">
        <v>289</v>
      </c>
      <c r="U53">
        <v>-1</v>
      </c>
    </row>
    <row r="54" spans="1:21" ht="15" customHeight="1" x14ac:dyDescent="0.25">
      <c r="A54" s="56" t="s">
        <v>285</v>
      </c>
      <c r="B54" s="58">
        <v>11</v>
      </c>
      <c r="C54" s="96">
        <v>0.41666666666666669</v>
      </c>
      <c r="D54" s="56" t="s">
        <v>93</v>
      </c>
      <c r="E54" s="58">
        <v>1.5</v>
      </c>
      <c r="F54" t="s">
        <v>187</v>
      </c>
      <c r="G54"/>
      <c r="H54"/>
      <c r="I54"/>
      <c r="J54" t="s">
        <v>275</v>
      </c>
      <c r="K54" s="57" t="s">
        <v>8</v>
      </c>
      <c r="L54" s="56" t="s">
        <v>158</v>
      </c>
      <c r="M54" s="48">
        <v>45362</v>
      </c>
      <c r="N54">
        <v>1</v>
      </c>
      <c r="O54" t="s">
        <v>293</v>
      </c>
      <c r="P54">
        <v>52</v>
      </c>
      <c r="Q54"/>
      <c r="R54"/>
      <c r="S54"/>
      <c r="T54" t="s">
        <v>289</v>
      </c>
      <c r="U54">
        <v>1</v>
      </c>
    </row>
    <row r="55" spans="1:21" ht="15" customHeight="1" x14ac:dyDescent="0.25">
      <c r="A55" s="56" t="s">
        <v>285</v>
      </c>
      <c r="B55" s="58">
        <v>11</v>
      </c>
      <c r="C55" s="96">
        <v>0.41666666666666669</v>
      </c>
      <c r="D55" s="56" t="s">
        <v>93</v>
      </c>
      <c r="E55" s="58">
        <v>1.5</v>
      </c>
      <c r="F55" t="s">
        <v>180</v>
      </c>
      <c r="G55"/>
      <c r="H55"/>
      <c r="I55"/>
      <c r="J55" t="s">
        <v>275</v>
      </c>
      <c r="K55" s="57" t="s">
        <v>8</v>
      </c>
      <c r="L55" s="56" t="s">
        <v>158</v>
      </c>
      <c r="M55" s="48">
        <v>45362</v>
      </c>
      <c r="N55">
        <v>1</v>
      </c>
      <c r="O55" t="s">
        <v>293</v>
      </c>
      <c r="P55">
        <v>53</v>
      </c>
      <c r="Q55"/>
      <c r="R55"/>
      <c r="S55"/>
      <c r="T55" t="s">
        <v>289</v>
      </c>
      <c r="U55">
        <v>1</v>
      </c>
    </row>
    <row r="56" spans="1:21" ht="15" customHeight="1" x14ac:dyDescent="0.25">
      <c r="A56" s="56" t="s">
        <v>285</v>
      </c>
      <c r="B56" s="58">
        <v>11</v>
      </c>
      <c r="C56" s="96">
        <v>0.41666666666666669</v>
      </c>
      <c r="D56" s="56" t="s">
        <v>93</v>
      </c>
      <c r="E56" s="58">
        <v>1.5</v>
      </c>
      <c r="F56" t="s">
        <v>267</v>
      </c>
      <c r="G56"/>
      <c r="H56"/>
      <c r="I56"/>
      <c r="J56" t="s">
        <v>275</v>
      </c>
      <c r="K56" s="57" t="s">
        <v>8</v>
      </c>
      <c r="L56" s="56" t="s">
        <v>158</v>
      </c>
      <c r="M56" s="48">
        <v>45362</v>
      </c>
      <c r="N56">
        <v>1</v>
      </c>
      <c r="O56" t="s">
        <v>293</v>
      </c>
      <c r="P56">
        <v>54</v>
      </c>
      <c r="Q56"/>
      <c r="R56"/>
      <c r="S56"/>
      <c r="T56" t="s">
        <v>289</v>
      </c>
      <c r="U56">
        <v>1</v>
      </c>
    </row>
    <row r="57" spans="1:21" ht="15" customHeight="1" x14ac:dyDescent="0.25">
      <c r="A57" s="56" t="s">
        <v>285</v>
      </c>
      <c r="B57" s="58">
        <v>11</v>
      </c>
      <c r="C57" s="96">
        <v>0.41666666666666669</v>
      </c>
      <c r="D57" s="56" t="s">
        <v>93</v>
      </c>
      <c r="E57" s="58">
        <v>1.5</v>
      </c>
      <c r="F57" t="s">
        <v>199</v>
      </c>
      <c r="G57"/>
      <c r="H57"/>
      <c r="I57"/>
      <c r="J57" t="s">
        <v>275</v>
      </c>
      <c r="K57" s="57" t="s">
        <v>8</v>
      </c>
      <c r="L57" s="56" t="s">
        <v>158</v>
      </c>
      <c r="M57" s="48">
        <v>45362</v>
      </c>
      <c r="N57">
        <v>1</v>
      </c>
      <c r="O57" t="s">
        <v>293</v>
      </c>
      <c r="P57">
        <v>55</v>
      </c>
      <c r="Q57"/>
      <c r="R57"/>
      <c r="S57"/>
      <c r="T57" t="s">
        <v>289</v>
      </c>
      <c r="U57">
        <v>1</v>
      </c>
    </row>
    <row r="58" spans="1:21" ht="15" customHeight="1" x14ac:dyDescent="0.25">
      <c r="A58" s="56" t="s">
        <v>285</v>
      </c>
      <c r="B58" s="58">
        <v>11</v>
      </c>
      <c r="C58" s="96">
        <v>0.41666666666666669</v>
      </c>
      <c r="D58" s="56" t="s">
        <v>93</v>
      </c>
      <c r="E58" s="58">
        <v>1.5</v>
      </c>
      <c r="F58" t="s">
        <v>268</v>
      </c>
      <c r="G58"/>
      <c r="H58"/>
      <c r="I58"/>
      <c r="J58" t="s">
        <v>275</v>
      </c>
      <c r="K58" s="57" t="s">
        <v>8</v>
      </c>
      <c r="L58" s="56" t="s">
        <v>158</v>
      </c>
      <c r="M58" s="48">
        <v>45362</v>
      </c>
      <c r="N58">
        <v>1</v>
      </c>
      <c r="O58" t="s">
        <v>293</v>
      </c>
      <c r="P58">
        <v>56</v>
      </c>
      <c r="Q58"/>
      <c r="R58"/>
      <c r="S58"/>
      <c r="T58" t="s">
        <v>289</v>
      </c>
      <c r="U58">
        <v>1</v>
      </c>
    </row>
    <row r="59" spans="1:21" ht="15" customHeight="1" x14ac:dyDescent="0.25">
      <c r="A59" s="56" t="s">
        <v>285</v>
      </c>
      <c r="B59" s="58">
        <v>11</v>
      </c>
      <c r="C59" s="96">
        <v>0.41666666666666669</v>
      </c>
      <c r="D59" s="56" t="s">
        <v>93</v>
      </c>
      <c r="E59" s="58">
        <v>1.5</v>
      </c>
      <c r="F59" t="s">
        <v>269</v>
      </c>
      <c r="G59"/>
      <c r="H59"/>
      <c r="I59"/>
      <c r="J59" t="s">
        <v>275</v>
      </c>
      <c r="K59" s="57" t="s">
        <v>8</v>
      </c>
      <c r="L59" s="56" t="s">
        <v>158</v>
      </c>
      <c r="M59" s="48">
        <v>45362</v>
      </c>
      <c r="N59">
        <v>1</v>
      </c>
      <c r="O59" t="s">
        <v>293</v>
      </c>
      <c r="P59">
        <v>93</v>
      </c>
      <c r="Q59"/>
      <c r="R59"/>
      <c r="S59"/>
      <c r="T59" t="s">
        <v>289</v>
      </c>
      <c r="U59">
        <v>1</v>
      </c>
    </row>
    <row r="60" spans="1:21" ht="15" customHeight="1" x14ac:dyDescent="0.25">
      <c r="A60" s="46">
        <v>27</v>
      </c>
      <c r="B60">
        <v>11</v>
      </c>
      <c r="C60" s="95">
        <v>0.47916666666666669</v>
      </c>
      <c r="D60" s="46" t="s">
        <v>69</v>
      </c>
      <c r="E60">
        <v>1</v>
      </c>
      <c r="F60" t="s">
        <v>159</v>
      </c>
      <c r="G60"/>
      <c r="H60"/>
      <c r="I60"/>
      <c r="J60" s="72" t="s">
        <v>15</v>
      </c>
      <c r="K60" s="44" t="s">
        <v>8</v>
      </c>
      <c r="L60" s="46"/>
      <c r="M60" s="48">
        <v>45362</v>
      </c>
      <c r="N60">
        <v>1</v>
      </c>
      <c r="O60"/>
      <c r="P60">
        <v>34</v>
      </c>
      <c r="Q60"/>
      <c r="R60"/>
      <c r="S60"/>
      <c r="T60" t="s">
        <v>289</v>
      </c>
      <c r="U60">
        <v>-1</v>
      </c>
    </row>
    <row r="61" spans="1:21" ht="15" customHeight="1" x14ac:dyDescent="0.25">
      <c r="A61" s="46">
        <v>28</v>
      </c>
      <c r="B61">
        <v>11</v>
      </c>
      <c r="C61" s="95">
        <v>0.52083333333333337</v>
      </c>
      <c r="D61" s="46" t="s">
        <v>14</v>
      </c>
      <c r="E61">
        <v>1</v>
      </c>
      <c r="F61" t="s">
        <v>220</v>
      </c>
      <c r="G61"/>
      <c r="H61"/>
      <c r="I61"/>
      <c r="J61" s="72" t="s">
        <v>15</v>
      </c>
      <c r="K61" s="44" t="s">
        <v>8</v>
      </c>
      <c r="L61" s="46"/>
      <c r="M61" s="48">
        <v>45362</v>
      </c>
      <c r="N61">
        <v>1</v>
      </c>
      <c r="O61"/>
      <c r="P61">
        <v>9</v>
      </c>
      <c r="Q61"/>
      <c r="R61"/>
      <c r="S61"/>
      <c r="T61" t="s">
        <v>289</v>
      </c>
      <c r="U61">
        <v>-1</v>
      </c>
    </row>
    <row r="62" spans="1:21" ht="15" customHeight="1" x14ac:dyDescent="0.25">
      <c r="A62" s="46">
        <v>29</v>
      </c>
      <c r="B62">
        <v>11</v>
      </c>
      <c r="C62" s="95">
        <v>0.64583333333333337</v>
      </c>
      <c r="D62" s="46" t="s">
        <v>70</v>
      </c>
      <c r="E62">
        <v>1</v>
      </c>
      <c r="F62" t="s">
        <v>198</v>
      </c>
      <c r="G62"/>
      <c r="H62"/>
      <c r="I62"/>
      <c r="J62" s="72" t="s">
        <v>15</v>
      </c>
      <c r="K62" s="44" t="s">
        <v>8</v>
      </c>
      <c r="L62" s="46"/>
      <c r="M62" s="48">
        <v>45362</v>
      </c>
      <c r="N62">
        <v>1</v>
      </c>
      <c r="O62"/>
      <c r="P62">
        <v>115</v>
      </c>
      <c r="Q62"/>
      <c r="R62"/>
      <c r="S62"/>
      <c r="T62" t="s">
        <v>289</v>
      </c>
      <c r="U62">
        <v>-1</v>
      </c>
    </row>
    <row r="63" spans="1:21" ht="15" customHeight="1" x14ac:dyDescent="0.25">
      <c r="A63" s="46">
        <v>30</v>
      </c>
      <c r="B63">
        <v>11</v>
      </c>
      <c r="C63" s="95">
        <v>0.6875</v>
      </c>
      <c r="D63" s="46" t="s">
        <v>20</v>
      </c>
      <c r="E63">
        <v>1.5</v>
      </c>
      <c r="F63" t="s">
        <v>208</v>
      </c>
      <c r="G63"/>
      <c r="H63"/>
      <c r="I63"/>
      <c r="J63" s="72" t="s">
        <v>15</v>
      </c>
      <c r="K63" s="44" t="s">
        <v>8</v>
      </c>
      <c r="L63" s="46"/>
      <c r="M63" s="48">
        <v>45362</v>
      </c>
      <c r="N63">
        <v>1</v>
      </c>
      <c r="O63"/>
      <c r="P63">
        <v>123</v>
      </c>
      <c r="Q63"/>
      <c r="R63"/>
      <c r="S63"/>
      <c r="T63" t="s">
        <v>289</v>
      </c>
      <c r="U63">
        <v>-1</v>
      </c>
    </row>
    <row r="64" spans="1:21" ht="15" customHeight="1" x14ac:dyDescent="0.25">
      <c r="A64" s="46">
        <v>31</v>
      </c>
      <c r="B64">
        <v>11</v>
      </c>
      <c r="C64" s="95">
        <v>0.75</v>
      </c>
      <c r="D64" s="46" t="s">
        <v>22</v>
      </c>
      <c r="E64">
        <v>1.5</v>
      </c>
      <c r="F64"/>
      <c r="G64"/>
      <c r="H64"/>
      <c r="I64"/>
      <c r="J64" s="76" t="s">
        <v>65</v>
      </c>
      <c r="K64" s="44" t="s">
        <v>8</v>
      </c>
      <c r="L64" s="46" t="s">
        <v>221</v>
      </c>
      <c r="M64" s="48">
        <v>45362</v>
      </c>
      <c r="N64" s="76">
        <v>0</v>
      </c>
      <c r="O64"/>
      <c r="P64"/>
      <c r="Q64"/>
      <c r="R64"/>
      <c r="S64"/>
      <c r="T64" t="s">
        <v>289</v>
      </c>
      <c r="U64">
        <v>-1</v>
      </c>
    </row>
    <row r="65" spans="1:21" ht="15" customHeight="1" x14ac:dyDescent="0.25">
      <c r="A65" s="46">
        <v>32</v>
      </c>
      <c r="B65">
        <v>12</v>
      </c>
      <c r="C65" s="95">
        <v>0.4375</v>
      </c>
      <c r="D65" s="46" t="s">
        <v>93</v>
      </c>
      <c r="E65">
        <v>1</v>
      </c>
      <c r="F65" t="s">
        <v>161</v>
      </c>
      <c r="G65" t="s">
        <v>162</v>
      </c>
      <c r="H65" t="s">
        <v>160</v>
      </c>
      <c r="I65"/>
      <c r="J65" s="72" t="s">
        <v>15</v>
      </c>
      <c r="K65" s="44" t="s">
        <v>8</v>
      </c>
      <c r="L65" s="46"/>
      <c r="M65" s="48">
        <v>45363</v>
      </c>
      <c r="N65">
        <v>3</v>
      </c>
      <c r="O65"/>
      <c r="P65">
        <v>201</v>
      </c>
      <c r="Q65">
        <v>195</v>
      </c>
      <c r="R65">
        <v>47</v>
      </c>
      <c r="S65"/>
      <c r="T65" t="s">
        <v>289</v>
      </c>
      <c r="U65">
        <v>-1</v>
      </c>
    </row>
    <row r="66" spans="1:21" ht="15" customHeight="1" x14ac:dyDescent="0.25">
      <c r="A66" s="46">
        <v>33</v>
      </c>
      <c r="B66">
        <v>12</v>
      </c>
      <c r="C66" s="95">
        <v>0.54166666666666663</v>
      </c>
      <c r="D66" s="46" t="s">
        <v>25</v>
      </c>
      <c r="E66">
        <v>1</v>
      </c>
      <c r="F66" t="s">
        <v>204</v>
      </c>
      <c r="G66"/>
      <c r="H66"/>
      <c r="I66"/>
      <c r="J66" s="72" t="s">
        <v>15</v>
      </c>
      <c r="K66" s="44" t="s">
        <v>8</v>
      </c>
      <c r="L66" s="46"/>
      <c r="M66" s="48">
        <v>45363</v>
      </c>
      <c r="N66">
        <v>1</v>
      </c>
      <c r="O66"/>
      <c r="P66">
        <v>120</v>
      </c>
      <c r="Q66"/>
      <c r="R66"/>
      <c r="S66"/>
      <c r="T66" t="s">
        <v>289</v>
      </c>
      <c r="U66">
        <v>-1</v>
      </c>
    </row>
    <row r="67" spans="1:21" ht="15" customHeight="1" x14ac:dyDescent="0.25">
      <c r="A67" s="46">
        <v>34</v>
      </c>
      <c r="B67">
        <v>12</v>
      </c>
      <c r="C67" s="95">
        <v>0.58333333333333337</v>
      </c>
      <c r="D67" s="46" t="s">
        <v>19</v>
      </c>
      <c r="E67">
        <v>1</v>
      </c>
      <c r="F67" t="s">
        <v>191</v>
      </c>
      <c r="G67" t="s">
        <v>190</v>
      </c>
      <c r="H67"/>
      <c r="I67"/>
      <c r="J67" s="76" t="s">
        <v>21</v>
      </c>
      <c r="K67" s="44" t="s">
        <v>8</v>
      </c>
      <c r="L67" s="46"/>
      <c r="M67" s="48">
        <v>45363</v>
      </c>
      <c r="N67">
        <v>2</v>
      </c>
      <c r="O67"/>
      <c r="P67">
        <v>7</v>
      </c>
      <c r="Q67">
        <v>174</v>
      </c>
      <c r="R67"/>
      <c r="S67"/>
      <c r="T67" t="s">
        <v>289</v>
      </c>
      <c r="U67">
        <v>-1</v>
      </c>
    </row>
    <row r="68" spans="1:21" ht="15" customHeight="1" x14ac:dyDescent="0.25">
      <c r="A68" s="46">
        <v>35</v>
      </c>
      <c r="B68">
        <v>12</v>
      </c>
      <c r="C68" s="95">
        <v>0.625</v>
      </c>
      <c r="D68" s="46" t="s">
        <v>20</v>
      </c>
      <c r="E68">
        <v>3</v>
      </c>
      <c r="F68"/>
      <c r="G68"/>
      <c r="H68"/>
      <c r="I68"/>
      <c r="J68" t="s">
        <v>18</v>
      </c>
      <c r="K68" s="44" t="s">
        <v>8</v>
      </c>
      <c r="L68" s="46" t="s">
        <v>158</v>
      </c>
      <c r="M68" s="48">
        <v>45363</v>
      </c>
      <c r="N68">
        <v>0</v>
      </c>
      <c r="O68" t="s">
        <v>256</v>
      </c>
      <c r="P68"/>
      <c r="Q68"/>
      <c r="R68"/>
      <c r="S68"/>
      <c r="T68" t="s">
        <v>289</v>
      </c>
      <c r="U68"/>
    </row>
    <row r="69" spans="1:21" ht="15" customHeight="1" x14ac:dyDescent="0.25">
      <c r="A69" s="46">
        <v>36</v>
      </c>
      <c r="B69">
        <v>13</v>
      </c>
      <c r="C69" s="95">
        <v>0.33333333333333331</v>
      </c>
      <c r="D69" s="46" t="s">
        <v>79</v>
      </c>
      <c r="E69">
        <v>1</v>
      </c>
      <c r="F69" t="s">
        <v>183</v>
      </c>
      <c r="G69"/>
      <c r="H69"/>
      <c r="I69"/>
      <c r="J69" s="72" t="s">
        <v>15</v>
      </c>
      <c r="K69" s="44" t="s">
        <v>8</v>
      </c>
      <c r="L69" s="46"/>
      <c r="M69" s="48">
        <v>45364</v>
      </c>
      <c r="N69">
        <v>1</v>
      </c>
      <c r="O69"/>
      <c r="P69">
        <v>121</v>
      </c>
      <c r="Q69"/>
      <c r="R69"/>
      <c r="S69"/>
      <c r="T69" t="s">
        <v>289</v>
      </c>
      <c r="U69">
        <v>-1</v>
      </c>
    </row>
    <row r="70" spans="1:21" ht="15" customHeight="1" x14ac:dyDescent="0.25">
      <c r="A70" s="46">
        <v>37</v>
      </c>
      <c r="B70">
        <v>13</v>
      </c>
      <c r="C70" s="95">
        <v>0.375</v>
      </c>
      <c r="D70" s="46" t="s">
        <v>85</v>
      </c>
      <c r="E70">
        <v>1</v>
      </c>
      <c r="F70" t="s">
        <v>145</v>
      </c>
      <c r="G70"/>
      <c r="H70"/>
      <c r="I70"/>
      <c r="J70" s="72" t="s">
        <v>15</v>
      </c>
      <c r="K70" s="44" t="s">
        <v>8</v>
      </c>
      <c r="L70" s="46"/>
      <c r="M70" s="48">
        <v>45364</v>
      </c>
      <c r="N70">
        <v>1</v>
      </c>
      <c r="O70"/>
      <c r="P70">
        <v>163</v>
      </c>
      <c r="Q70"/>
      <c r="R70"/>
      <c r="S70"/>
      <c r="T70" t="s">
        <v>289</v>
      </c>
      <c r="U70">
        <v>-1</v>
      </c>
    </row>
    <row r="71" spans="1:21" ht="15" customHeight="1" x14ac:dyDescent="0.25">
      <c r="A71" s="46">
        <v>38</v>
      </c>
      <c r="B71">
        <v>13</v>
      </c>
      <c r="C71" s="95">
        <v>0.41666666666666669</v>
      </c>
      <c r="D71" s="46" t="s">
        <v>72</v>
      </c>
      <c r="E71">
        <v>1</v>
      </c>
      <c r="F71" t="s">
        <v>170</v>
      </c>
      <c r="G71" t="s">
        <v>171</v>
      </c>
      <c r="H71"/>
      <c r="I71"/>
      <c r="J71" s="72" t="s">
        <v>15</v>
      </c>
      <c r="K71" s="44" t="s">
        <v>8</v>
      </c>
      <c r="L71" s="46"/>
      <c r="M71" s="48">
        <v>45364</v>
      </c>
      <c r="N71">
        <v>2</v>
      </c>
      <c r="O71"/>
      <c r="P71">
        <v>209</v>
      </c>
      <c r="Q71">
        <v>167</v>
      </c>
      <c r="R71"/>
      <c r="S71"/>
      <c r="T71" t="s">
        <v>289</v>
      </c>
      <c r="U71">
        <v>-1</v>
      </c>
    </row>
    <row r="72" spans="1:21" ht="15" customHeight="1" x14ac:dyDescent="0.25">
      <c r="A72" s="46">
        <v>39</v>
      </c>
      <c r="B72">
        <v>13</v>
      </c>
      <c r="C72" s="95">
        <v>0.45833333333333331</v>
      </c>
      <c r="D72" s="46" t="s">
        <v>13</v>
      </c>
      <c r="E72">
        <v>1</v>
      </c>
      <c r="F72" t="s">
        <v>199</v>
      </c>
      <c r="G72" t="s">
        <v>200</v>
      </c>
      <c r="H72"/>
      <c r="I72"/>
      <c r="J72" s="72" t="s">
        <v>15</v>
      </c>
      <c r="K72" s="44" t="s">
        <v>8</v>
      </c>
      <c r="L72" s="46"/>
      <c r="M72" s="48">
        <v>45364</v>
      </c>
      <c r="N72">
        <v>2</v>
      </c>
      <c r="O72"/>
      <c r="P72">
        <v>55</v>
      </c>
      <c r="Q72">
        <v>239</v>
      </c>
      <c r="R72"/>
      <c r="S72"/>
      <c r="T72" t="s">
        <v>289</v>
      </c>
      <c r="U72">
        <v>-1</v>
      </c>
    </row>
    <row r="73" spans="1:21" ht="15" customHeight="1" x14ac:dyDescent="0.25">
      <c r="A73" s="46">
        <v>40</v>
      </c>
      <c r="B73">
        <v>13</v>
      </c>
      <c r="C73" s="95">
        <v>0.54166666666666663</v>
      </c>
      <c r="D73" s="46" t="s">
        <v>25</v>
      </c>
      <c r="E73">
        <v>1</v>
      </c>
      <c r="F73" t="s">
        <v>177</v>
      </c>
      <c r="G73"/>
      <c r="H73"/>
      <c r="I73"/>
      <c r="J73" s="72" t="s">
        <v>15</v>
      </c>
      <c r="K73" s="44" t="s">
        <v>8</v>
      </c>
      <c r="L73" s="46"/>
      <c r="M73" s="48">
        <v>45364</v>
      </c>
      <c r="N73">
        <v>1</v>
      </c>
      <c r="O73"/>
      <c r="P73">
        <v>212</v>
      </c>
      <c r="Q73"/>
      <c r="R73"/>
      <c r="S73"/>
      <c r="T73" t="s">
        <v>289</v>
      </c>
      <c r="U73">
        <v>-1</v>
      </c>
    </row>
    <row r="74" spans="1:21" ht="15" customHeight="1" x14ac:dyDescent="0.25">
      <c r="A74" s="46">
        <v>41</v>
      </c>
      <c r="B74">
        <v>13</v>
      </c>
      <c r="C74" s="95">
        <v>0.58333333333333337</v>
      </c>
      <c r="D74" s="46" t="s">
        <v>19</v>
      </c>
      <c r="E74">
        <v>1</v>
      </c>
      <c r="F74" t="s">
        <v>179</v>
      </c>
      <c r="G74"/>
      <c r="H74"/>
      <c r="I74"/>
      <c r="J74" s="72" t="s">
        <v>15</v>
      </c>
      <c r="K74" s="44" t="s">
        <v>8</v>
      </c>
      <c r="L74" s="46"/>
      <c r="M74" s="48">
        <v>45364</v>
      </c>
      <c r="N74">
        <v>1</v>
      </c>
      <c r="O74"/>
      <c r="P74">
        <v>132</v>
      </c>
      <c r="Q74"/>
      <c r="R74"/>
      <c r="S74"/>
      <c r="T74" t="s">
        <v>289</v>
      </c>
      <c r="U74">
        <v>-1</v>
      </c>
    </row>
    <row r="75" spans="1:21" ht="15" customHeight="1" x14ac:dyDescent="0.25">
      <c r="A75" s="46">
        <v>42</v>
      </c>
      <c r="B75">
        <v>13</v>
      </c>
      <c r="C75" s="95">
        <v>0.72916666666666663</v>
      </c>
      <c r="D75" s="46" t="s">
        <v>6</v>
      </c>
      <c r="E75">
        <v>1</v>
      </c>
      <c r="F75" t="s">
        <v>209</v>
      </c>
      <c r="G75" t="s">
        <v>210</v>
      </c>
      <c r="H75"/>
      <c r="I75"/>
      <c r="J75" t="s">
        <v>7</v>
      </c>
      <c r="K75" s="44" t="s">
        <v>8</v>
      </c>
      <c r="L75" s="46"/>
      <c r="M75" s="48">
        <v>45364</v>
      </c>
      <c r="N75">
        <v>2</v>
      </c>
      <c r="O75" t="s">
        <v>254</v>
      </c>
      <c r="P75">
        <v>241</v>
      </c>
      <c r="Q75">
        <v>137</v>
      </c>
      <c r="R75"/>
      <c r="S75"/>
      <c r="T75" t="s">
        <v>289</v>
      </c>
      <c r="U75">
        <v>1</v>
      </c>
    </row>
    <row r="76" spans="1:21" ht="15" customHeight="1" x14ac:dyDescent="0.25">
      <c r="A76" s="46">
        <v>43</v>
      </c>
      <c r="B76">
        <v>14</v>
      </c>
      <c r="C76" s="95">
        <v>0.41666666666666669</v>
      </c>
      <c r="D76" s="46" t="s">
        <v>72</v>
      </c>
      <c r="E76">
        <v>1</v>
      </c>
      <c r="F76" t="s">
        <v>163</v>
      </c>
      <c r="G76"/>
      <c r="H76"/>
      <c r="I76"/>
      <c r="J76" s="72" t="s">
        <v>15</v>
      </c>
      <c r="K76" s="44" t="s">
        <v>8</v>
      </c>
      <c r="L76" s="46"/>
      <c r="M76" s="48">
        <v>45365</v>
      </c>
      <c r="N76">
        <v>1</v>
      </c>
      <c r="O76"/>
      <c r="P76">
        <v>38</v>
      </c>
      <c r="Q76"/>
      <c r="R76"/>
      <c r="S76"/>
      <c r="T76" t="s">
        <v>289</v>
      </c>
      <c r="U76">
        <v>-1</v>
      </c>
    </row>
    <row r="77" spans="1:21" ht="15" customHeight="1" x14ac:dyDescent="0.25">
      <c r="A77" s="46">
        <v>44</v>
      </c>
      <c r="B77">
        <v>14</v>
      </c>
      <c r="C77" s="95">
        <v>0.45833333333333331</v>
      </c>
      <c r="D77" s="46" t="s">
        <v>69</v>
      </c>
      <c r="E77">
        <v>1.5</v>
      </c>
      <c r="F77"/>
      <c r="G77"/>
      <c r="H77"/>
      <c r="I77"/>
      <c r="J77" s="76" t="s">
        <v>65</v>
      </c>
      <c r="K77" s="44" t="s">
        <v>8</v>
      </c>
      <c r="L77" s="46"/>
      <c r="M77" s="48">
        <v>45365</v>
      </c>
      <c r="N77" s="76">
        <v>0</v>
      </c>
      <c r="O77"/>
      <c r="P77"/>
      <c r="Q77"/>
      <c r="R77"/>
      <c r="S77"/>
      <c r="T77" t="s">
        <v>289</v>
      </c>
      <c r="U77">
        <v>-1</v>
      </c>
    </row>
    <row r="78" spans="1:21" ht="15" customHeight="1" x14ac:dyDescent="0.25">
      <c r="A78" s="46">
        <v>45</v>
      </c>
      <c r="B78">
        <v>14</v>
      </c>
      <c r="C78" s="95">
        <v>0.5625</v>
      </c>
      <c r="D78" s="46" t="s">
        <v>66</v>
      </c>
      <c r="E78">
        <v>1</v>
      </c>
      <c r="F78" t="s">
        <v>222</v>
      </c>
      <c r="G78"/>
      <c r="H78"/>
      <c r="I78"/>
      <c r="J78" s="72" t="s">
        <v>15</v>
      </c>
      <c r="K78" s="44" t="s">
        <v>8</v>
      </c>
      <c r="L78" s="46"/>
      <c r="M78" s="48">
        <v>45365</v>
      </c>
      <c r="N78">
        <v>1</v>
      </c>
      <c r="O78"/>
      <c r="P78">
        <v>240</v>
      </c>
      <c r="Q78"/>
      <c r="R78"/>
      <c r="S78"/>
      <c r="T78" t="s">
        <v>289</v>
      </c>
      <c r="U78">
        <v>-1</v>
      </c>
    </row>
    <row r="79" spans="1:21" ht="15" customHeight="1" x14ac:dyDescent="0.25">
      <c r="A79" s="46">
        <v>46</v>
      </c>
      <c r="B79">
        <v>14</v>
      </c>
      <c r="C79" s="95">
        <v>0.64583333333333337</v>
      </c>
      <c r="D79" s="46" t="s">
        <v>70</v>
      </c>
      <c r="E79">
        <v>1</v>
      </c>
      <c r="F79" t="s">
        <v>182</v>
      </c>
      <c r="G79"/>
      <c r="H79"/>
      <c r="I79"/>
      <c r="J79" s="72" t="s">
        <v>15</v>
      </c>
      <c r="K79" s="44" t="s">
        <v>8</v>
      </c>
      <c r="L79" s="46"/>
      <c r="M79" s="48">
        <v>45365</v>
      </c>
      <c r="N79">
        <v>1</v>
      </c>
      <c r="O79"/>
      <c r="P79">
        <v>188</v>
      </c>
      <c r="Q79"/>
      <c r="R79"/>
      <c r="S79"/>
      <c r="T79" t="s">
        <v>289</v>
      </c>
      <c r="U79">
        <v>-1</v>
      </c>
    </row>
    <row r="80" spans="1:21" ht="15" customHeight="1" x14ac:dyDescent="0.25">
      <c r="A80" s="46">
        <v>47</v>
      </c>
      <c r="B80">
        <v>14</v>
      </c>
      <c r="C80" s="95">
        <v>0.70833333333333337</v>
      </c>
      <c r="D80" s="46" t="s">
        <v>6</v>
      </c>
      <c r="E80">
        <v>1.5</v>
      </c>
      <c r="F80" t="s">
        <v>218</v>
      </c>
      <c r="G80"/>
      <c r="H80"/>
      <c r="I80"/>
      <c r="J80" s="76" t="s">
        <v>7</v>
      </c>
      <c r="K80" s="44" t="s">
        <v>8</v>
      </c>
      <c r="L80" s="46"/>
      <c r="M80" s="48">
        <v>45365</v>
      </c>
      <c r="N80">
        <v>1</v>
      </c>
      <c r="O80"/>
      <c r="P80">
        <v>19</v>
      </c>
      <c r="Q80"/>
      <c r="R80"/>
      <c r="S80"/>
      <c r="T80" t="s">
        <v>289</v>
      </c>
      <c r="U80">
        <v>-1</v>
      </c>
    </row>
    <row r="81" spans="1:21" ht="15" customHeight="1" x14ac:dyDescent="0.25">
      <c r="A81" s="46">
        <v>48</v>
      </c>
      <c r="B81">
        <v>17</v>
      </c>
      <c r="C81" s="95">
        <v>0.52083333333333337</v>
      </c>
      <c r="D81" s="46" t="s">
        <v>26</v>
      </c>
      <c r="E81">
        <v>3</v>
      </c>
      <c r="F81"/>
      <c r="G81"/>
      <c r="H81"/>
      <c r="I81"/>
      <c r="J81" t="s">
        <v>18</v>
      </c>
      <c r="K81" s="44" t="s">
        <v>8</v>
      </c>
      <c r="L81" s="46" t="s">
        <v>205</v>
      </c>
      <c r="M81" s="48">
        <v>45368</v>
      </c>
      <c r="N81">
        <v>0</v>
      </c>
      <c r="O81" t="s">
        <v>256</v>
      </c>
      <c r="P81"/>
      <c r="Q81"/>
      <c r="R81"/>
      <c r="S81"/>
      <c r="T81" t="s">
        <v>289</v>
      </c>
      <c r="U81"/>
    </row>
    <row r="82" spans="1:21" ht="15" customHeight="1" x14ac:dyDescent="0.25">
      <c r="A82" s="46">
        <v>49</v>
      </c>
      <c r="B82">
        <v>18</v>
      </c>
      <c r="C82" s="95">
        <v>0.33333333333333331</v>
      </c>
      <c r="D82" s="46" t="s">
        <v>79</v>
      </c>
      <c r="E82">
        <v>1</v>
      </c>
      <c r="F82" t="s">
        <v>183</v>
      </c>
      <c r="G82"/>
      <c r="H82"/>
      <c r="I82"/>
      <c r="J82" s="72" t="s">
        <v>15</v>
      </c>
      <c r="K82" s="44" t="s">
        <v>8</v>
      </c>
      <c r="L82" s="46"/>
      <c r="M82" s="48">
        <v>45369</v>
      </c>
      <c r="N82">
        <v>1</v>
      </c>
      <c r="O82"/>
      <c r="P82">
        <v>121</v>
      </c>
      <c r="Q82"/>
      <c r="R82"/>
      <c r="S82"/>
      <c r="T82" t="s">
        <v>289</v>
      </c>
      <c r="U82">
        <v>-1</v>
      </c>
    </row>
    <row r="83" spans="1:21" ht="15" customHeight="1" x14ac:dyDescent="0.25">
      <c r="A83" s="46">
        <v>50</v>
      </c>
      <c r="B83">
        <v>18</v>
      </c>
      <c r="C83" s="95">
        <v>0.375</v>
      </c>
      <c r="D83" s="46" t="s">
        <v>85</v>
      </c>
      <c r="E83">
        <v>1</v>
      </c>
      <c r="F83" t="s">
        <v>150</v>
      </c>
      <c r="G83" t="s">
        <v>149</v>
      </c>
      <c r="H83"/>
      <c r="I83"/>
      <c r="J83" s="72" t="s">
        <v>15</v>
      </c>
      <c r="K83" s="44" t="s">
        <v>8</v>
      </c>
      <c r="L83" s="46"/>
      <c r="M83" s="48">
        <v>45369</v>
      </c>
      <c r="N83">
        <v>2</v>
      </c>
      <c r="O83"/>
      <c r="P83">
        <v>125</v>
      </c>
      <c r="Q83">
        <v>118</v>
      </c>
      <c r="R83"/>
      <c r="S83"/>
      <c r="T83" t="s">
        <v>289</v>
      </c>
      <c r="U83">
        <v>-1</v>
      </c>
    </row>
    <row r="84" spans="1:21" ht="15" customHeight="1" x14ac:dyDescent="0.25">
      <c r="A84" s="46">
        <v>51</v>
      </c>
      <c r="B84">
        <v>18</v>
      </c>
      <c r="C84" s="95">
        <v>0.41666666666666669</v>
      </c>
      <c r="D84" s="46" t="s">
        <v>93</v>
      </c>
      <c r="E84">
        <v>1.5</v>
      </c>
      <c r="F84"/>
      <c r="G84"/>
      <c r="H84"/>
      <c r="I84"/>
      <c r="J84" s="76" t="s">
        <v>65</v>
      </c>
      <c r="K84" s="44" t="s">
        <v>8</v>
      </c>
      <c r="L84" s="46" t="s">
        <v>158</v>
      </c>
      <c r="M84" s="48">
        <v>45369</v>
      </c>
      <c r="N84" s="76">
        <v>0</v>
      </c>
      <c r="O84"/>
      <c r="P84"/>
      <c r="Q84"/>
      <c r="R84"/>
      <c r="S84"/>
      <c r="T84" t="s">
        <v>289</v>
      </c>
      <c r="U84">
        <v>-1</v>
      </c>
    </row>
    <row r="85" spans="1:21" ht="15" customHeight="1" x14ac:dyDescent="0.25">
      <c r="A85" s="46">
        <v>52</v>
      </c>
      <c r="B85">
        <v>18</v>
      </c>
      <c r="C85" s="95">
        <v>0.52083333333333337</v>
      </c>
      <c r="D85" s="46" t="s">
        <v>14</v>
      </c>
      <c r="E85">
        <v>1</v>
      </c>
      <c r="F85" t="s">
        <v>190</v>
      </c>
      <c r="G85"/>
      <c r="H85"/>
      <c r="I85"/>
      <c r="J85" t="s">
        <v>21</v>
      </c>
      <c r="K85" s="44" t="s">
        <v>8</v>
      </c>
      <c r="L85" s="46"/>
      <c r="M85" s="48">
        <v>45369</v>
      </c>
      <c r="N85">
        <v>1</v>
      </c>
      <c r="O85" t="s">
        <v>253</v>
      </c>
      <c r="P85">
        <v>174</v>
      </c>
      <c r="Q85"/>
      <c r="R85"/>
      <c r="S85"/>
      <c r="T85" t="s">
        <v>289</v>
      </c>
      <c r="U85">
        <v>1</v>
      </c>
    </row>
    <row r="86" spans="1:21" ht="15" customHeight="1" x14ac:dyDescent="0.25">
      <c r="A86" s="46">
        <v>53</v>
      </c>
      <c r="B86">
        <v>18</v>
      </c>
      <c r="C86" s="95">
        <v>0.64583333333333337</v>
      </c>
      <c r="D86" s="46" t="s">
        <v>10</v>
      </c>
      <c r="E86">
        <v>1.5</v>
      </c>
      <c r="F86"/>
      <c r="G86"/>
      <c r="H86"/>
      <c r="I86"/>
      <c r="J86" s="76" t="s">
        <v>65</v>
      </c>
      <c r="K86" s="44" t="s">
        <v>8</v>
      </c>
      <c r="L86" s="46" t="s">
        <v>158</v>
      </c>
      <c r="M86" s="48">
        <v>45369</v>
      </c>
      <c r="N86" s="76">
        <v>0</v>
      </c>
      <c r="O86"/>
      <c r="P86"/>
      <c r="Q86"/>
      <c r="R86"/>
      <c r="S86"/>
      <c r="T86" t="s">
        <v>289</v>
      </c>
      <c r="U86">
        <v>-1</v>
      </c>
    </row>
    <row r="87" spans="1:21" ht="15" x14ac:dyDescent="0.25">
      <c r="A87" s="46">
        <v>54</v>
      </c>
      <c r="B87">
        <v>18</v>
      </c>
      <c r="C87" s="95">
        <v>0.70833333333333337</v>
      </c>
      <c r="D87" s="46" t="s">
        <v>6</v>
      </c>
      <c r="E87">
        <v>1</v>
      </c>
      <c r="F87" t="s">
        <v>208</v>
      </c>
      <c r="G87" t="s">
        <v>171</v>
      </c>
      <c r="H87"/>
      <c r="I87"/>
      <c r="J87" t="s">
        <v>283</v>
      </c>
      <c r="K87" s="44" t="s">
        <v>8</v>
      </c>
      <c r="L87" s="46"/>
      <c r="M87" s="48">
        <v>45369</v>
      </c>
      <c r="N87">
        <v>2</v>
      </c>
      <c r="O87" t="s">
        <v>291</v>
      </c>
      <c r="P87">
        <v>123</v>
      </c>
      <c r="Q87">
        <v>167</v>
      </c>
      <c r="R87"/>
      <c r="S87"/>
      <c r="T87" t="s">
        <v>289</v>
      </c>
      <c r="U87">
        <v>1</v>
      </c>
    </row>
    <row r="88" spans="1:21" ht="15" x14ac:dyDescent="0.25">
      <c r="A88" s="46">
        <v>55</v>
      </c>
      <c r="B88">
        <v>18</v>
      </c>
      <c r="C88" s="95">
        <v>0.83333333333333337</v>
      </c>
      <c r="D88" s="46" t="s">
        <v>17</v>
      </c>
      <c r="E88">
        <v>3</v>
      </c>
      <c r="F88"/>
      <c r="G88"/>
      <c r="H88"/>
      <c r="I88"/>
      <c r="J88" t="s">
        <v>18</v>
      </c>
      <c r="K88" s="44" t="s">
        <v>8</v>
      </c>
      <c r="L88" s="46" t="s">
        <v>203</v>
      </c>
      <c r="M88" s="48">
        <v>45369</v>
      </c>
      <c r="N88">
        <v>0</v>
      </c>
      <c r="O88" t="s">
        <v>256</v>
      </c>
      <c r="P88"/>
      <c r="Q88"/>
      <c r="R88"/>
      <c r="S88"/>
      <c r="T88" t="s">
        <v>289</v>
      </c>
      <c r="U88"/>
    </row>
    <row r="89" spans="1:21" ht="15" x14ac:dyDescent="0.25">
      <c r="A89" s="46">
        <v>56</v>
      </c>
      <c r="B89">
        <v>19</v>
      </c>
      <c r="C89" s="95">
        <v>0.45833333333333331</v>
      </c>
      <c r="D89" s="46" t="s">
        <v>13</v>
      </c>
      <c r="E89">
        <v>1</v>
      </c>
      <c r="F89" t="s">
        <v>160</v>
      </c>
      <c r="G89" t="s">
        <v>171</v>
      </c>
      <c r="H89"/>
      <c r="I89"/>
      <c r="J89" t="s">
        <v>258</v>
      </c>
      <c r="K89" s="44" t="s">
        <v>8</v>
      </c>
      <c r="L89" s="46"/>
      <c r="M89" s="48">
        <v>45370</v>
      </c>
      <c r="N89">
        <v>2</v>
      </c>
      <c r="O89" t="s">
        <v>259</v>
      </c>
      <c r="P89">
        <v>47</v>
      </c>
      <c r="Q89">
        <v>167</v>
      </c>
      <c r="R89"/>
      <c r="S89"/>
      <c r="T89" t="s">
        <v>289</v>
      </c>
      <c r="U89">
        <v>1</v>
      </c>
    </row>
    <row r="90" spans="1:21" ht="15" x14ac:dyDescent="0.25">
      <c r="A90" s="46">
        <v>57</v>
      </c>
      <c r="B90">
        <v>19</v>
      </c>
      <c r="C90" s="95">
        <v>0.58333333333333337</v>
      </c>
      <c r="D90" s="46" t="s">
        <v>19</v>
      </c>
      <c r="E90">
        <v>1</v>
      </c>
      <c r="F90" t="s">
        <v>191</v>
      </c>
      <c r="G90"/>
      <c r="H90"/>
      <c r="I90"/>
      <c r="J90" t="s">
        <v>21</v>
      </c>
      <c r="K90" s="44" t="s">
        <v>8</v>
      </c>
      <c r="L90" s="46"/>
      <c r="M90" s="48">
        <v>45370</v>
      </c>
      <c r="N90">
        <v>1</v>
      </c>
      <c r="O90" t="s">
        <v>253</v>
      </c>
      <c r="P90">
        <v>7</v>
      </c>
      <c r="Q90"/>
      <c r="R90"/>
      <c r="S90"/>
      <c r="T90" t="s">
        <v>289</v>
      </c>
      <c r="U90">
        <v>1</v>
      </c>
    </row>
    <row r="91" spans="1:21" ht="15" x14ac:dyDescent="0.25">
      <c r="A91" s="46">
        <v>58</v>
      </c>
      <c r="B91">
        <v>20</v>
      </c>
      <c r="C91" s="95">
        <v>0.375</v>
      </c>
      <c r="D91" s="46" t="s">
        <v>85</v>
      </c>
      <c r="E91">
        <v>1</v>
      </c>
      <c r="F91" t="s">
        <v>145</v>
      </c>
      <c r="G91"/>
      <c r="H91"/>
      <c r="I91"/>
      <c r="J91" s="72" t="s">
        <v>15</v>
      </c>
      <c r="K91" s="44" t="s">
        <v>8</v>
      </c>
      <c r="L91" s="46"/>
      <c r="M91" s="48">
        <v>45371</v>
      </c>
      <c r="N91">
        <v>1</v>
      </c>
      <c r="O91"/>
      <c r="P91">
        <v>163</v>
      </c>
      <c r="Q91"/>
      <c r="R91"/>
      <c r="S91"/>
      <c r="T91" t="s">
        <v>289</v>
      </c>
      <c r="U91">
        <v>-1</v>
      </c>
    </row>
    <row r="92" spans="1:21" ht="15" x14ac:dyDescent="0.25">
      <c r="A92" s="46">
        <v>59</v>
      </c>
      <c r="B92">
        <v>20</v>
      </c>
      <c r="C92" s="95">
        <v>0.41666666666666669</v>
      </c>
      <c r="D92" s="46" t="s">
        <v>72</v>
      </c>
      <c r="E92">
        <v>1</v>
      </c>
      <c r="F92" t="s">
        <v>170</v>
      </c>
      <c r="G92" t="s">
        <v>171</v>
      </c>
      <c r="H92"/>
      <c r="I92"/>
      <c r="J92" s="72" t="s">
        <v>15</v>
      </c>
      <c r="K92" s="44" t="s">
        <v>8</v>
      </c>
      <c r="L92" s="46"/>
      <c r="M92" s="48">
        <v>45371</v>
      </c>
      <c r="N92">
        <v>2</v>
      </c>
      <c r="O92"/>
      <c r="P92">
        <v>209</v>
      </c>
      <c r="Q92">
        <v>167</v>
      </c>
      <c r="R92"/>
      <c r="S92"/>
      <c r="T92" t="s">
        <v>289</v>
      </c>
      <c r="U92">
        <v>-1</v>
      </c>
    </row>
    <row r="93" spans="1:21" ht="15" x14ac:dyDescent="0.25">
      <c r="A93" s="46">
        <v>60</v>
      </c>
      <c r="B93">
        <v>20</v>
      </c>
      <c r="C93" s="95">
        <v>0.45833333333333331</v>
      </c>
      <c r="D93" s="46" t="s">
        <v>13</v>
      </c>
      <c r="E93">
        <v>1</v>
      </c>
      <c r="F93" t="s">
        <v>160</v>
      </c>
      <c r="G93"/>
      <c r="H93"/>
      <c r="I93"/>
      <c r="J93" s="72" t="s">
        <v>15</v>
      </c>
      <c r="K93" s="44" t="s">
        <v>8</v>
      </c>
      <c r="L93" s="46"/>
      <c r="M93" s="48">
        <v>45371</v>
      </c>
      <c r="N93">
        <v>1</v>
      </c>
      <c r="O93"/>
      <c r="P93">
        <v>47</v>
      </c>
      <c r="Q93"/>
      <c r="R93"/>
      <c r="S93"/>
      <c r="T93" t="s">
        <v>289</v>
      </c>
      <c r="U93">
        <v>-1</v>
      </c>
    </row>
    <row r="94" spans="1:21" ht="15" x14ac:dyDescent="0.25">
      <c r="A94" s="46">
        <v>61</v>
      </c>
      <c r="B94">
        <v>20</v>
      </c>
      <c r="C94" s="95">
        <v>0</v>
      </c>
      <c r="D94" s="46" t="s">
        <v>24</v>
      </c>
      <c r="E94">
        <v>1</v>
      </c>
      <c r="F94" t="s">
        <v>159</v>
      </c>
      <c r="G94"/>
      <c r="H94"/>
      <c r="I94"/>
      <c r="J94" s="72" t="s">
        <v>15</v>
      </c>
      <c r="K94" s="44" t="s">
        <v>8</v>
      </c>
      <c r="L94" s="46"/>
      <c r="M94" s="48">
        <v>45371</v>
      </c>
      <c r="N94">
        <v>1</v>
      </c>
      <c r="O94"/>
      <c r="P94">
        <v>34</v>
      </c>
      <c r="Q94"/>
      <c r="R94"/>
      <c r="S94"/>
      <c r="T94" t="s">
        <v>289</v>
      </c>
      <c r="U94">
        <v>-1</v>
      </c>
    </row>
    <row r="95" spans="1:21" ht="15" x14ac:dyDescent="0.25">
      <c r="A95" s="46">
        <v>62</v>
      </c>
      <c r="B95">
        <v>20</v>
      </c>
      <c r="C95" s="95">
        <v>0.58333333333333337</v>
      </c>
      <c r="D95" s="46" t="s">
        <v>19</v>
      </c>
      <c r="E95">
        <v>1</v>
      </c>
      <c r="F95" t="s">
        <v>146</v>
      </c>
      <c r="G95"/>
      <c r="H95"/>
      <c r="I95"/>
      <c r="J95" s="72" t="s">
        <v>15</v>
      </c>
      <c r="K95" s="44" t="s">
        <v>8</v>
      </c>
      <c r="L95" s="46"/>
      <c r="M95" s="48">
        <v>45371</v>
      </c>
      <c r="N95">
        <v>1</v>
      </c>
      <c r="O95"/>
      <c r="P95">
        <v>103</v>
      </c>
      <c r="Q95"/>
      <c r="R95"/>
      <c r="S95"/>
      <c r="T95" t="s">
        <v>289</v>
      </c>
      <c r="U95">
        <v>-1</v>
      </c>
    </row>
    <row r="96" spans="1:21" ht="15" x14ac:dyDescent="0.25">
      <c r="A96" s="46">
        <v>63</v>
      </c>
      <c r="B96">
        <v>21</v>
      </c>
      <c r="C96" s="95">
        <v>0.45833333333333331</v>
      </c>
      <c r="D96" s="46" t="s">
        <v>69</v>
      </c>
      <c r="E96">
        <v>1.5</v>
      </c>
      <c r="F96"/>
      <c r="G96"/>
      <c r="H96"/>
      <c r="I96"/>
      <c r="J96" s="76" t="s">
        <v>65</v>
      </c>
      <c r="K96" s="44" t="s">
        <v>8</v>
      </c>
      <c r="L96" s="46" t="s">
        <v>223</v>
      </c>
      <c r="M96" s="48">
        <v>45372</v>
      </c>
      <c r="N96" s="76">
        <v>0</v>
      </c>
      <c r="O96"/>
      <c r="P96"/>
      <c r="Q96"/>
      <c r="R96"/>
      <c r="S96"/>
      <c r="T96" t="s">
        <v>289</v>
      </c>
      <c r="U96">
        <v>-1</v>
      </c>
    </row>
    <row r="97" spans="1:21" ht="15" x14ac:dyDescent="0.25">
      <c r="A97" s="46">
        <v>64</v>
      </c>
      <c r="B97">
        <v>21</v>
      </c>
      <c r="C97" s="95">
        <v>0.52083333333333337</v>
      </c>
      <c r="D97" s="46" t="s">
        <v>14</v>
      </c>
      <c r="E97">
        <v>1</v>
      </c>
      <c r="F97" t="s">
        <v>187</v>
      </c>
      <c r="G97"/>
      <c r="H97"/>
      <c r="I97"/>
      <c r="J97" t="s">
        <v>21</v>
      </c>
      <c r="K97" s="44" t="s">
        <v>8</v>
      </c>
      <c r="L97" s="46"/>
      <c r="M97" s="48">
        <v>45372</v>
      </c>
      <c r="N97">
        <v>1</v>
      </c>
      <c r="O97" t="s">
        <v>253</v>
      </c>
      <c r="P97">
        <v>52</v>
      </c>
      <c r="Q97"/>
      <c r="R97"/>
      <c r="S97"/>
      <c r="T97" t="s">
        <v>289</v>
      </c>
      <c r="U97">
        <v>1</v>
      </c>
    </row>
    <row r="98" spans="1:21" ht="15" x14ac:dyDescent="0.25">
      <c r="A98" s="46">
        <v>65</v>
      </c>
      <c r="B98">
        <v>21</v>
      </c>
      <c r="C98" s="95">
        <v>0.5625</v>
      </c>
      <c r="D98" s="46" t="s">
        <v>66</v>
      </c>
      <c r="E98">
        <v>1</v>
      </c>
      <c r="F98" t="s">
        <v>192</v>
      </c>
      <c r="G98"/>
      <c r="H98"/>
      <c r="I98"/>
      <c r="J98" s="72" t="s">
        <v>15</v>
      </c>
      <c r="K98" s="44" t="s">
        <v>8</v>
      </c>
      <c r="L98" s="46"/>
      <c r="M98" s="48">
        <v>45372</v>
      </c>
      <c r="N98">
        <v>1</v>
      </c>
      <c r="O98"/>
      <c r="P98">
        <v>122</v>
      </c>
      <c r="Q98"/>
      <c r="R98"/>
      <c r="S98"/>
      <c r="T98" t="s">
        <v>289</v>
      </c>
      <c r="U98">
        <v>-1</v>
      </c>
    </row>
    <row r="99" spans="1:21" ht="15" x14ac:dyDescent="0.25">
      <c r="A99" s="46">
        <v>66</v>
      </c>
      <c r="B99">
        <v>21</v>
      </c>
      <c r="C99" s="95">
        <v>0.60416666666666663</v>
      </c>
      <c r="D99" s="46" t="s">
        <v>26</v>
      </c>
      <c r="E99">
        <v>1</v>
      </c>
      <c r="F99" t="s">
        <v>165</v>
      </c>
      <c r="G99"/>
      <c r="H99"/>
      <c r="I99"/>
      <c r="J99" t="s">
        <v>21</v>
      </c>
      <c r="K99" s="44" t="s">
        <v>8</v>
      </c>
      <c r="L99" s="46"/>
      <c r="M99" s="48">
        <v>45372</v>
      </c>
      <c r="N99">
        <v>1</v>
      </c>
      <c r="O99" t="s">
        <v>253</v>
      </c>
      <c r="P99">
        <v>119</v>
      </c>
      <c r="Q99"/>
      <c r="R99"/>
      <c r="S99"/>
      <c r="T99" t="s">
        <v>289</v>
      </c>
      <c r="U99">
        <v>1</v>
      </c>
    </row>
    <row r="100" spans="1:21" ht="15" x14ac:dyDescent="0.25">
      <c r="A100" s="46">
        <v>67</v>
      </c>
      <c r="B100">
        <v>21</v>
      </c>
      <c r="C100" s="95">
        <v>0.64583333333333337</v>
      </c>
      <c r="D100" s="46" t="s">
        <v>70</v>
      </c>
      <c r="E100">
        <v>1</v>
      </c>
      <c r="F100" t="s">
        <v>166</v>
      </c>
      <c r="G100"/>
      <c r="H100"/>
      <c r="I100"/>
      <c r="J100" s="72" t="s">
        <v>15</v>
      </c>
      <c r="K100" s="44" t="s">
        <v>8</v>
      </c>
      <c r="L100" s="46"/>
      <c r="M100" s="48">
        <v>45372</v>
      </c>
      <c r="N100">
        <v>1</v>
      </c>
      <c r="O100"/>
      <c r="P100">
        <v>185</v>
      </c>
      <c r="Q100"/>
      <c r="R100"/>
      <c r="S100"/>
      <c r="T100" t="s">
        <v>289</v>
      </c>
      <c r="U100">
        <v>-1</v>
      </c>
    </row>
    <row r="101" spans="1:21" ht="15" x14ac:dyDescent="0.25">
      <c r="A101" s="46">
        <v>68</v>
      </c>
      <c r="B101">
        <v>21</v>
      </c>
      <c r="C101" s="95">
        <v>0.70833333333333337</v>
      </c>
      <c r="D101" s="46" t="s">
        <v>6</v>
      </c>
      <c r="E101">
        <v>1.5</v>
      </c>
      <c r="F101" t="s">
        <v>218</v>
      </c>
      <c r="G101"/>
      <c r="H101"/>
      <c r="I101"/>
      <c r="J101" s="76" t="s">
        <v>7</v>
      </c>
      <c r="K101" s="44" t="s">
        <v>8</v>
      </c>
      <c r="L101" s="46"/>
      <c r="M101" s="48">
        <v>45372</v>
      </c>
      <c r="N101">
        <v>1</v>
      </c>
      <c r="O101"/>
      <c r="P101">
        <v>19</v>
      </c>
      <c r="Q101"/>
      <c r="R101"/>
      <c r="S101"/>
      <c r="T101" t="s">
        <v>289</v>
      </c>
      <c r="U101">
        <v>-1</v>
      </c>
    </row>
    <row r="102" spans="1:21" ht="15" x14ac:dyDescent="0.25">
      <c r="A102" s="46">
        <v>69</v>
      </c>
      <c r="B102">
        <v>21</v>
      </c>
      <c r="C102" s="95">
        <v>0.79166666666666663</v>
      </c>
      <c r="D102" s="46" t="s">
        <v>27</v>
      </c>
      <c r="E102">
        <v>1.5</v>
      </c>
      <c r="F102"/>
      <c r="G102"/>
      <c r="H102"/>
      <c r="I102"/>
      <c r="J102" s="76" t="s">
        <v>65</v>
      </c>
      <c r="K102" s="44" t="s">
        <v>8</v>
      </c>
      <c r="L102" s="46" t="s">
        <v>148</v>
      </c>
      <c r="M102" s="48">
        <v>45372</v>
      </c>
      <c r="N102" s="76">
        <v>0</v>
      </c>
      <c r="O102"/>
      <c r="P102"/>
      <c r="Q102"/>
      <c r="R102"/>
      <c r="S102"/>
      <c r="T102" t="s">
        <v>289</v>
      </c>
      <c r="U102">
        <v>-1</v>
      </c>
    </row>
    <row r="103" spans="1:21" ht="15" x14ac:dyDescent="0.25">
      <c r="A103" s="46">
        <v>70</v>
      </c>
      <c r="B103">
        <v>21</v>
      </c>
      <c r="C103" s="95">
        <v>0.85416666666666663</v>
      </c>
      <c r="D103" s="46" t="s">
        <v>12</v>
      </c>
      <c r="E103">
        <v>1.5</v>
      </c>
      <c r="F103"/>
      <c r="G103"/>
      <c r="H103"/>
      <c r="I103"/>
      <c r="J103" s="76" t="s">
        <v>65</v>
      </c>
      <c r="K103" s="44" t="s">
        <v>8</v>
      </c>
      <c r="L103" s="46" t="s">
        <v>148</v>
      </c>
      <c r="M103" s="48">
        <v>45372</v>
      </c>
      <c r="N103" s="76">
        <v>0</v>
      </c>
      <c r="O103"/>
      <c r="P103"/>
      <c r="Q103"/>
      <c r="R103"/>
      <c r="S103"/>
      <c r="T103" t="s">
        <v>289</v>
      </c>
      <c r="U103">
        <v>-1</v>
      </c>
    </row>
    <row r="104" spans="1:21" ht="15" x14ac:dyDescent="0.25">
      <c r="A104" s="46">
        <v>71</v>
      </c>
      <c r="B104">
        <v>25</v>
      </c>
      <c r="C104" s="95">
        <v>0.33333333333333331</v>
      </c>
      <c r="D104" s="46" t="s">
        <v>79</v>
      </c>
      <c r="E104">
        <v>1</v>
      </c>
      <c r="F104" t="s">
        <v>183</v>
      </c>
      <c r="G104"/>
      <c r="H104"/>
      <c r="I104"/>
      <c r="J104" s="72" t="s">
        <v>15</v>
      </c>
      <c r="K104" s="44" t="s">
        <v>8</v>
      </c>
      <c r="L104" s="46"/>
      <c r="M104" s="48">
        <v>45376</v>
      </c>
      <c r="N104">
        <v>1</v>
      </c>
      <c r="O104"/>
      <c r="P104">
        <v>121</v>
      </c>
      <c r="Q104"/>
      <c r="R104"/>
      <c r="S104"/>
      <c r="T104" t="s">
        <v>289</v>
      </c>
      <c r="U104">
        <v>-1</v>
      </c>
    </row>
    <row r="105" spans="1:21" ht="15" x14ac:dyDescent="0.25">
      <c r="A105" s="46">
        <v>72</v>
      </c>
      <c r="B105">
        <v>25</v>
      </c>
      <c r="C105" s="95">
        <v>0.41666666666666669</v>
      </c>
      <c r="D105" s="46" t="s">
        <v>93</v>
      </c>
      <c r="E105">
        <v>1.5</v>
      </c>
      <c r="F105"/>
      <c r="G105"/>
      <c r="H105"/>
      <c r="I105"/>
      <c r="J105" s="76" t="s">
        <v>65</v>
      </c>
      <c r="K105" s="44" t="s">
        <v>8</v>
      </c>
      <c r="L105" s="46" t="s">
        <v>158</v>
      </c>
      <c r="M105" s="48">
        <v>45376</v>
      </c>
      <c r="N105" s="76">
        <v>0</v>
      </c>
      <c r="O105"/>
      <c r="P105"/>
      <c r="Q105"/>
      <c r="R105"/>
      <c r="S105"/>
      <c r="T105" t="s">
        <v>289</v>
      </c>
      <c r="U105">
        <v>-1</v>
      </c>
    </row>
    <row r="106" spans="1:21" ht="15" x14ac:dyDescent="0.25">
      <c r="A106" s="46">
        <v>73</v>
      </c>
      <c r="B106">
        <v>25</v>
      </c>
      <c r="C106" s="95">
        <v>0.47916666666666669</v>
      </c>
      <c r="D106" s="46" t="s">
        <v>69</v>
      </c>
      <c r="E106">
        <v>1</v>
      </c>
      <c r="F106" t="s">
        <v>190</v>
      </c>
      <c r="G106"/>
      <c r="H106"/>
      <c r="I106"/>
      <c r="J106" t="s">
        <v>21</v>
      </c>
      <c r="K106" s="44" t="s">
        <v>8</v>
      </c>
      <c r="L106" s="46"/>
      <c r="M106" s="48">
        <v>45376</v>
      </c>
      <c r="N106">
        <v>1</v>
      </c>
      <c r="O106" t="s">
        <v>253</v>
      </c>
      <c r="P106">
        <v>174</v>
      </c>
      <c r="Q106"/>
      <c r="R106"/>
      <c r="S106"/>
      <c r="T106" t="s">
        <v>289</v>
      </c>
      <c r="U106">
        <v>1</v>
      </c>
    </row>
    <row r="107" spans="1:21" ht="15" x14ac:dyDescent="0.25">
      <c r="A107" s="46">
        <v>74</v>
      </c>
      <c r="B107">
        <v>25</v>
      </c>
      <c r="C107" s="95">
        <v>0.52083333333333337</v>
      </c>
      <c r="D107" s="46" t="s">
        <v>14</v>
      </c>
      <c r="E107">
        <v>1</v>
      </c>
      <c r="F107" t="s">
        <v>198</v>
      </c>
      <c r="G107"/>
      <c r="H107"/>
      <c r="I107"/>
      <c r="J107" s="72" t="s">
        <v>15</v>
      </c>
      <c r="K107" s="44" t="s">
        <v>8</v>
      </c>
      <c r="L107" s="46"/>
      <c r="M107" s="48">
        <v>45376</v>
      </c>
      <c r="N107">
        <v>1</v>
      </c>
      <c r="O107"/>
      <c r="P107">
        <v>115</v>
      </c>
      <c r="Q107"/>
      <c r="R107"/>
      <c r="S107"/>
      <c r="T107" t="s">
        <v>289</v>
      </c>
      <c r="U107">
        <v>-1</v>
      </c>
    </row>
    <row r="108" spans="1:21" ht="15" x14ac:dyDescent="0.25">
      <c r="A108" s="46">
        <v>75</v>
      </c>
      <c r="B108">
        <v>27</v>
      </c>
      <c r="C108" s="95">
        <v>0.72916666666666663</v>
      </c>
      <c r="D108" s="46" t="s">
        <v>6</v>
      </c>
      <c r="E108">
        <v>1</v>
      </c>
      <c r="F108" t="s">
        <v>209</v>
      </c>
      <c r="G108" t="s">
        <v>210</v>
      </c>
      <c r="H108"/>
      <c r="I108"/>
      <c r="J108" t="s">
        <v>7</v>
      </c>
      <c r="K108" s="44" t="s">
        <v>8</v>
      </c>
      <c r="L108" s="46" t="s">
        <v>224</v>
      </c>
      <c r="M108" s="48">
        <v>45378</v>
      </c>
      <c r="N108">
        <v>2</v>
      </c>
      <c r="O108" t="s">
        <v>254</v>
      </c>
      <c r="P108">
        <v>241</v>
      </c>
      <c r="Q108">
        <v>137</v>
      </c>
      <c r="R108"/>
      <c r="S108"/>
      <c r="T108" t="s">
        <v>289</v>
      </c>
      <c r="U108">
        <v>1</v>
      </c>
    </row>
    <row r="109" spans="1:21" ht="15" x14ac:dyDescent="0.25">
      <c r="A109" s="46">
        <v>76</v>
      </c>
      <c r="B109">
        <v>27</v>
      </c>
      <c r="C109" s="95">
        <v>0.77083333333333337</v>
      </c>
      <c r="D109" s="46" t="s">
        <v>16</v>
      </c>
      <c r="E109">
        <v>1.5</v>
      </c>
      <c r="F109" t="s">
        <v>213</v>
      </c>
      <c r="G109" t="s">
        <v>212</v>
      </c>
      <c r="H109" t="s">
        <v>211</v>
      </c>
      <c r="I109"/>
      <c r="J109" t="s">
        <v>7</v>
      </c>
      <c r="K109" s="44" t="s">
        <v>8</v>
      </c>
      <c r="L109" s="46" t="s">
        <v>224</v>
      </c>
      <c r="M109" s="48">
        <v>45378</v>
      </c>
      <c r="N109">
        <v>3</v>
      </c>
      <c r="O109" t="s">
        <v>262</v>
      </c>
      <c r="P109">
        <v>20</v>
      </c>
      <c r="Q109">
        <v>14</v>
      </c>
      <c r="R109">
        <v>45</v>
      </c>
      <c r="S109"/>
      <c r="T109" t="s">
        <v>289</v>
      </c>
      <c r="U109">
        <v>1</v>
      </c>
    </row>
    <row r="110" spans="1:21" ht="15" x14ac:dyDescent="0.25">
      <c r="A110" s="46">
        <v>77</v>
      </c>
      <c r="B110">
        <v>27</v>
      </c>
      <c r="C110" s="95">
        <v>0.83333333333333337</v>
      </c>
      <c r="D110" s="46" t="s">
        <v>68</v>
      </c>
      <c r="E110">
        <v>1.5</v>
      </c>
      <c r="F110" t="s">
        <v>217</v>
      </c>
      <c r="G110" t="s">
        <v>214</v>
      </c>
      <c r="H110" t="s">
        <v>216</v>
      </c>
      <c r="I110" t="s">
        <v>215</v>
      </c>
      <c r="J110" t="s">
        <v>7</v>
      </c>
      <c r="K110" s="44" t="s">
        <v>8</v>
      </c>
      <c r="L110" s="46" t="s">
        <v>224</v>
      </c>
      <c r="M110" s="48">
        <v>45378</v>
      </c>
      <c r="N110">
        <v>4</v>
      </c>
      <c r="O110" t="s">
        <v>257</v>
      </c>
      <c r="P110">
        <v>147</v>
      </c>
      <c r="Q110">
        <v>124</v>
      </c>
      <c r="R110">
        <v>60</v>
      </c>
      <c r="S110">
        <v>101</v>
      </c>
      <c r="T110" t="s">
        <v>289</v>
      </c>
      <c r="U110">
        <v>1</v>
      </c>
    </row>
  </sheetData>
  <mergeCells count="5">
    <mergeCell ref="J9:K10"/>
    <mergeCell ref="D10:D12"/>
    <mergeCell ref="E10:E12"/>
    <mergeCell ref="D15:D17"/>
    <mergeCell ref="E15:E17"/>
  </mergeCells>
  <phoneticPr fontId="21" type="noConversion"/>
  <conditionalFormatting sqref="U25:U110">
    <cfRule type="cellIs" dxfId="33" priority="1" stopIfTrue="1" operator="equal">
      <formula>-1</formula>
    </cfRule>
    <cfRule type="cellIs" dxfId="32" priority="2" stopIfTrue="1" operator="equal">
      <formula>1</formula>
    </cfRule>
    <cfRule type="cellIs" dxfId="31" priority="3" stopIfTrue="1" operator="equal">
      <formula>-2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5C05-6B5A-4A2E-8513-D3596DD0CD0F}">
  <sheetPr codeName="Hoja8"/>
  <dimension ref="A1:U137"/>
  <sheetViews>
    <sheetView topLeftCell="H50" zoomScale="93" workbookViewId="0">
      <selection activeCell="U77" sqref="U77"/>
    </sheetView>
  </sheetViews>
  <sheetFormatPr baseColWidth="10" defaultRowHeight="12.75" x14ac:dyDescent="0.2"/>
  <cols>
    <col min="1" max="4" width="5.7109375" style="17" customWidth="1"/>
    <col min="5" max="5" width="8.7109375" style="17" customWidth="1"/>
    <col min="6" max="9" width="20.7109375" style="17" customWidth="1"/>
    <col min="10" max="10" width="14.7109375" style="17" customWidth="1"/>
    <col min="11" max="11" width="16.7109375" style="17" customWidth="1"/>
    <col min="12" max="12" width="18.7109375" style="17" customWidth="1"/>
    <col min="13" max="13" width="14.140625" style="17" customWidth="1"/>
    <col min="14" max="14" width="11.42578125" style="17"/>
    <col min="15" max="15" width="15" style="17" customWidth="1"/>
    <col min="16" max="16384" width="11.42578125" style="17"/>
  </cols>
  <sheetData>
    <row r="1" spans="1:12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2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2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ht="13.5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FEBRERO</v>
      </c>
      <c r="K9" s="129"/>
      <c r="L9" s="19"/>
    </row>
    <row r="10" spans="1:12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</row>
    <row r="11" spans="1:12" ht="21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52">
        <f>SUMIF(J25:J137,"=ESCUELA",E25:E137)</f>
        <v>8.5</v>
      </c>
      <c r="L11" s="19"/>
    </row>
    <row r="12" spans="1:12" ht="15.75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52">
        <f>SUMIF(J25:J137,"=BONO",E25:E137)</f>
        <v>64</v>
      </c>
      <c r="L12" s="19"/>
    </row>
    <row r="13" spans="1:12" ht="21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52">
        <f>SUMIF(J25:J137,"=INFANTIL",E25:E137)</f>
        <v>0</v>
      </c>
      <c r="L13" s="19"/>
    </row>
    <row r="14" spans="1:12" ht="21.75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52">
        <f>SUMIF(J25:J137,"=CAPITANÍA",E25:E137)</f>
        <v>24</v>
      </c>
      <c r="L14" s="19"/>
    </row>
    <row r="15" spans="1:12" ht="21" x14ac:dyDescent="0.2">
      <c r="A15" s="19"/>
      <c r="B15" s="19"/>
      <c r="C15" s="19"/>
      <c r="D15" s="138" t="s">
        <v>2</v>
      </c>
      <c r="E15" s="135" t="s">
        <v>29</v>
      </c>
      <c r="F15" s="19"/>
      <c r="G15" s="19"/>
      <c r="H15" s="19"/>
      <c r="I15" s="19"/>
      <c r="J15" s="20" t="s">
        <v>127</v>
      </c>
      <c r="K15" s="52">
        <f>SUMIF(J25:J137,"=PARTICULAR",E25:E137)</f>
        <v>6</v>
      </c>
      <c r="L15" s="19"/>
    </row>
    <row r="16" spans="1:12" ht="15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52">
        <f>SUMIF(J25:J137,"=TORNEO",E25:E137)</f>
        <v>2</v>
      </c>
      <c r="L16" s="19"/>
    </row>
    <row r="17" spans="1:21" ht="21.75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52">
        <f>SUMIF(J25:J137,"=COMPETICIÓN",E25:E137)</f>
        <v>12.5</v>
      </c>
      <c r="L17" s="16"/>
    </row>
    <row r="18" spans="1:21" ht="2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52">
        <f>SUMIF(J25:J137,"=CLASE-PARTIDO",E25:E137)</f>
        <v>4.5</v>
      </c>
      <c r="L18" s="16"/>
    </row>
    <row r="19" spans="1:21" x14ac:dyDescent="0.2">
      <c r="C19" s="16"/>
      <c r="F19" s="16"/>
      <c r="G19" s="16"/>
      <c r="H19" s="16"/>
      <c r="I19" s="16"/>
      <c r="J19" s="23"/>
      <c r="K19" s="24">
        <f>SUM(K11:K18)</f>
        <v>121.5</v>
      </c>
      <c r="L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2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2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21" ht="13.5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21" ht="15" customHeight="1" thickBot="1" x14ac:dyDescent="0.25">
      <c r="A24" s="77" t="s">
        <v>155</v>
      </c>
      <c r="B24" s="81" t="s">
        <v>156</v>
      </c>
      <c r="C24" s="89" t="s">
        <v>132</v>
      </c>
      <c r="D24" s="81" t="s">
        <v>133</v>
      </c>
      <c r="E24" s="51" t="s">
        <v>157</v>
      </c>
      <c r="F24" s="42" t="s">
        <v>134</v>
      </c>
      <c r="G24" s="42" t="s">
        <v>135</v>
      </c>
      <c r="H24" s="42" t="s">
        <v>136</v>
      </c>
      <c r="I24" s="42" t="s">
        <v>137</v>
      </c>
      <c r="J24" s="42" t="s">
        <v>3</v>
      </c>
      <c r="K24" s="42" t="s">
        <v>4</v>
      </c>
      <c r="L24" s="53" t="s">
        <v>138</v>
      </c>
      <c r="M24" s="90" t="s">
        <v>246</v>
      </c>
      <c r="N24" s="90" t="s">
        <v>290</v>
      </c>
      <c r="O24" s="91" t="s">
        <v>247</v>
      </c>
      <c r="P24" s="90" t="s">
        <v>248</v>
      </c>
      <c r="Q24" s="90" t="s">
        <v>249</v>
      </c>
      <c r="R24" s="90" t="s">
        <v>250</v>
      </c>
      <c r="S24" s="90" t="s">
        <v>251</v>
      </c>
      <c r="T24" s="47" t="s">
        <v>288</v>
      </c>
      <c r="U24" s="47" t="s">
        <v>252</v>
      </c>
    </row>
    <row r="25" spans="1:21" ht="15" customHeight="1" x14ac:dyDescent="0.25">
      <c r="A25" s="78">
        <v>1</v>
      </c>
      <c r="B25" s="78">
        <v>1</v>
      </c>
      <c r="C25" s="95">
        <v>0.41666666666666669</v>
      </c>
      <c r="D25" t="s">
        <v>72</v>
      </c>
      <c r="E25">
        <v>1</v>
      </c>
      <c r="F25" t="s">
        <v>163</v>
      </c>
      <c r="G25"/>
      <c r="H25"/>
      <c r="I25"/>
      <c r="J25" s="72" t="s">
        <v>15</v>
      </c>
      <c r="K25" t="s">
        <v>8</v>
      </c>
      <c r="L25"/>
      <c r="M25" s="48">
        <v>45323</v>
      </c>
      <c r="N25">
        <v>1</v>
      </c>
      <c r="O25"/>
      <c r="P25">
        <v>38</v>
      </c>
      <c r="Q25"/>
      <c r="R25"/>
      <c r="S25"/>
      <c r="T25" t="s">
        <v>289</v>
      </c>
      <c r="U25">
        <v>-1</v>
      </c>
    </row>
    <row r="26" spans="1:21" ht="15" customHeight="1" x14ac:dyDescent="0.25">
      <c r="A26" s="78">
        <v>2</v>
      </c>
      <c r="B26" s="78">
        <v>1</v>
      </c>
      <c r="C26" s="95">
        <v>0.41666666666666669</v>
      </c>
      <c r="D26" t="s">
        <v>93</v>
      </c>
      <c r="E26">
        <v>1.5</v>
      </c>
      <c r="F26"/>
      <c r="G26"/>
      <c r="H26"/>
      <c r="I26"/>
      <c r="J26" s="76" t="s">
        <v>65</v>
      </c>
      <c r="K26" t="s">
        <v>8</v>
      </c>
      <c r="L26" t="s">
        <v>223</v>
      </c>
      <c r="M26" s="48">
        <v>45323</v>
      </c>
      <c r="N26" s="76">
        <v>0</v>
      </c>
      <c r="O26"/>
      <c r="P26"/>
      <c r="Q26"/>
      <c r="R26"/>
      <c r="S26"/>
      <c r="T26" t="s">
        <v>289</v>
      </c>
      <c r="U26">
        <v>-1</v>
      </c>
    </row>
    <row r="27" spans="1:21" ht="15" customHeight="1" x14ac:dyDescent="0.25">
      <c r="A27" s="78">
        <v>3</v>
      </c>
      <c r="B27" s="78">
        <v>1</v>
      </c>
      <c r="C27" s="95">
        <v>0.54166666666666663</v>
      </c>
      <c r="D27" t="s">
        <v>25</v>
      </c>
      <c r="E27">
        <v>1</v>
      </c>
      <c r="F27" t="s">
        <v>183</v>
      </c>
      <c r="G27"/>
      <c r="H27"/>
      <c r="I27"/>
      <c r="J27" s="72" t="s">
        <v>15</v>
      </c>
      <c r="K27" t="s">
        <v>8</v>
      </c>
      <c r="L27"/>
      <c r="M27" s="48">
        <v>45323</v>
      </c>
      <c r="N27">
        <v>1</v>
      </c>
      <c r="O27"/>
      <c r="P27">
        <v>121</v>
      </c>
      <c r="Q27"/>
      <c r="R27"/>
      <c r="S27"/>
      <c r="T27" t="s">
        <v>289</v>
      </c>
      <c r="U27">
        <v>-1</v>
      </c>
    </row>
    <row r="28" spans="1:21" ht="15" customHeight="1" x14ac:dyDescent="0.25">
      <c r="A28" s="78">
        <v>4</v>
      </c>
      <c r="B28" s="78">
        <v>1</v>
      </c>
      <c r="C28" s="95">
        <v>0.64583333333333337</v>
      </c>
      <c r="D28" t="s">
        <v>70</v>
      </c>
      <c r="E28">
        <v>1</v>
      </c>
      <c r="F28" s="76" t="s">
        <v>225</v>
      </c>
      <c r="G28"/>
      <c r="H28"/>
      <c r="I28"/>
      <c r="J28" s="72" t="s">
        <v>15</v>
      </c>
      <c r="K28" t="s">
        <v>8</v>
      </c>
      <c r="L28"/>
      <c r="M28" s="48">
        <v>45323</v>
      </c>
      <c r="N28">
        <v>1</v>
      </c>
      <c r="O28"/>
      <c r="P28"/>
      <c r="Q28"/>
      <c r="R28"/>
      <c r="S28"/>
      <c r="T28" t="s">
        <v>289</v>
      </c>
      <c r="U28">
        <v>-1</v>
      </c>
    </row>
    <row r="29" spans="1:21" ht="15" customHeight="1" x14ac:dyDescent="0.25">
      <c r="A29" s="78">
        <v>5</v>
      </c>
      <c r="B29" s="78">
        <v>2</v>
      </c>
      <c r="C29" s="95">
        <v>0.33333333333333331</v>
      </c>
      <c r="D29" t="s">
        <v>79</v>
      </c>
      <c r="E29">
        <v>1</v>
      </c>
      <c r="F29" t="s">
        <v>183</v>
      </c>
      <c r="G29"/>
      <c r="H29"/>
      <c r="I29"/>
      <c r="J29" s="72" t="s">
        <v>15</v>
      </c>
      <c r="K29" t="s">
        <v>8</v>
      </c>
      <c r="L29"/>
      <c r="M29" s="48">
        <v>45324</v>
      </c>
      <c r="N29">
        <v>1</v>
      </c>
      <c r="O29"/>
      <c r="P29">
        <v>121</v>
      </c>
      <c r="Q29"/>
      <c r="R29"/>
      <c r="S29"/>
      <c r="T29" t="s">
        <v>289</v>
      </c>
      <c r="U29">
        <v>-1</v>
      </c>
    </row>
    <row r="30" spans="1:21" ht="15" customHeight="1" x14ac:dyDescent="0.25">
      <c r="A30" s="78">
        <v>6</v>
      </c>
      <c r="B30" s="78">
        <v>2</v>
      </c>
      <c r="C30" s="95">
        <v>0.41666666666666669</v>
      </c>
      <c r="D30" t="s">
        <v>72</v>
      </c>
      <c r="E30">
        <v>1</v>
      </c>
      <c r="F30" t="s">
        <v>189</v>
      </c>
      <c r="G30" t="s">
        <v>188</v>
      </c>
      <c r="H30"/>
      <c r="I30"/>
      <c r="J30" s="72" t="s">
        <v>15</v>
      </c>
      <c r="K30" t="s">
        <v>8</v>
      </c>
      <c r="L30"/>
      <c r="M30" s="48">
        <v>45324</v>
      </c>
      <c r="N30">
        <v>2</v>
      </c>
      <c r="O30"/>
      <c r="P30">
        <v>127</v>
      </c>
      <c r="Q30">
        <v>189</v>
      </c>
      <c r="R30"/>
      <c r="S30"/>
      <c r="T30" t="s">
        <v>289</v>
      </c>
      <c r="U30">
        <v>-1</v>
      </c>
    </row>
    <row r="31" spans="1:21" ht="15" customHeight="1" x14ac:dyDescent="0.25">
      <c r="A31" s="78">
        <v>7</v>
      </c>
      <c r="B31" s="78">
        <v>2</v>
      </c>
      <c r="C31" s="95">
        <v>0.45833333333333331</v>
      </c>
      <c r="D31" t="s">
        <v>13</v>
      </c>
      <c r="E31">
        <v>1</v>
      </c>
      <c r="F31" t="s">
        <v>226</v>
      </c>
      <c r="G31"/>
      <c r="H31"/>
      <c r="I31"/>
      <c r="J31" t="s">
        <v>21</v>
      </c>
      <c r="K31" t="s">
        <v>8</v>
      </c>
      <c r="L31"/>
      <c r="M31" s="48">
        <v>45324</v>
      </c>
      <c r="N31">
        <v>1</v>
      </c>
      <c r="O31" t="s">
        <v>253</v>
      </c>
      <c r="P31">
        <v>202</v>
      </c>
      <c r="Q31"/>
      <c r="R31"/>
      <c r="S31"/>
      <c r="T31" t="s">
        <v>289</v>
      </c>
      <c r="U31">
        <v>-2</v>
      </c>
    </row>
    <row r="32" spans="1:21" ht="15" customHeight="1" x14ac:dyDescent="0.25">
      <c r="A32" s="78">
        <v>8</v>
      </c>
      <c r="B32" s="78">
        <v>2</v>
      </c>
      <c r="C32" s="95">
        <v>0.5</v>
      </c>
      <c r="D32" t="s">
        <v>24</v>
      </c>
      <c r="E32">
        <v>1</v>
      </c>
      <c r="F32" t="s">
        <v>177</v>
      </c>
      <c r="G32"/>
      <c r="H32"/>
      <c r="I32"/>
      <c r="J32" s="72" t="s">
        <v>15</v>
      </c>
      <c r="K32" t="s">
        <v>8</v>
      </c>
      <c r="L32"/>
      <c r="M32" s="48">
        <v>45324</v>
      </c>
      <c r="N32">
        <v>1</v>
      </c>
      <c r="O32"/>
      <c r="P32">
        <v>212</v>
      </c>
      <c r="Q32"/>
      <c r="R32"/>
      <c r="S32"/>
      <c r="T32" t="s">
        <v>289</v>
      </c>
      <c r="U32">
        <v>-1</v>
      </c>
    </row>
    <row r="33" spans="1:21" ht="15" customHeight="1" x14ac:dyDescent="0.25">
      <c r="A33" s="78">
        <v>9</v>
      </c>
      <c r="B33" s="78">
        <v>2</v>
      </c>
      <c r="C33" s="95">
        <v>0.54166666666666663</v>
      </c>
      <c r="D33" t="s">
        <v>25</v>
      </c>
      <c r="E33">
        <v>1</v>
      </c>
      <c r="F33" t="s">
        <v>192</v>
      </c>
      <c r="G33"/>
      <c r="H33"/>
      <c r="I33"/>
      <c r="J33" s="72" t="s">
        <v>15</v>
      </c>
      <c r="K33" t="s">
        <v>8</v>
      </c>
      <c r="L33"/>
      <c r="M33" s="48">
        <v>45324</v>
      </c>
      <c r="N33">
        <v>1</v>
      </c>
      <c r="O33"/>
      <c r="P33">
        <v>122</v>
      </c>
      <c r="Q33"/>
      <c r="R33"/>
      <c r="S33"/>
      <c r="T33" t="s">
        <v>289</v>
      </c>
      <c r="U33">
        <v>-1</v>
      </c>
    </row>
    <row r="34" spans="1:21" ht="15" customHeight="1" x14ac:dyDescent="0.25">
      <c r="A34" s="78">
        <v>10</v>
      </c>
      <c r="B34" s="78">
        <v>4</v>
      </c>
      <c r="C34" s="95">
        <v>0.54166666666666663</v>
      </c>
      <c r="D34" t="s">
        <v>9</v>
      </c>
      <c r="E34">
        <v>3</v>
      </c>
      <c r="F34"/>
      <c r="G34"/>
      <c r="H34"/>
      <c r="I34"/>
      <c r="J34" t="s">
        <v>18</v>
      </c>
      <c r="K34" t="s">
        <v>8</v>
      </c>
      <c r="L34" t="s">
        <v>205</v>
      </c>
      <c r="M34" s="48">
        <v>45326</v>
      </c>
      <c r="N34">
        <v>0</v>
      </c>
      <c r="O34" t="s">
        <v>256</v>
      </c>
      <c r="P34"/>
      <c r="Q34"/>
      <c r="R34"/>
      <c r="S34"/>
      <c r="T34" t="s">
        <v>289</v>
      </c>
      <c r="U34"/>
    </row>
    <row r="35" spans="1:21" ht="15" customHeight="1" x14ac:dyDescent="0.25">
      <c r="A35" s="78">
        <v>11</v>
      </c>
      <c r="B35" s="78">
        <v>5</v>
      </c>
      <c r="C35" s="95">
        <v>0.33333333333333331</v>
      </c>
      <c r="D35" t="s">
        <v>79</v>
      </c>
      <c r="E35">
        <v>1</v>
      </c>
      <c r="F35" t="s">
        <v>183</v>
      </c>
      <c r="G35"/>
      <c r="H35"/>
      <c r="I35"/>
      <c r="J35" s="72" t="s">
        <v>15</v>
      </c>
      <c r="K35" t="s">
        <v>8</v>
      </c>
      <c r="L35"/>
      <c r="M35" s="48">
        <v>45327</v>
      </c>
      <c r="N35">
        <v>1</v>
      </c>
      <c r="O35"/>
      <c r="P35">
        <v>121</v>
      </c>
      <c r="Q35"/>
      <c r="R35"/>
      <c r="S35"/>
      <c r="T35" t="s">
        <v>289</v>
      </c>
      <c r="U35">
        <v>-1</v>
      </c>
    </row>
    <row r="36" spans="1:21" ht="15" customHeight="1" x14ac:dyDescent="0.25">
      <c r="A36" s="92">
        <v>12</v>
      </c>
      <c r="B36" s="92">
        <v>5</v>
      </c>
      <c r="C36" s="95">
        <v>0.41666666666666669</v>
      </c>
      <c r="D36" t="s">
        <v>93</v>
      </c>
      <c r="E36">
        <v>1.5</v>
      </c>
      <c r="F36" s="76" t="s">
        <v>266</v>
      </c>
      <c r="G36"/>
      <c r="H36"/>
      <c r="I36"/>
      <c r="J36" s="76" t="s">
        <v>277</v>
      </c>
      <c r="K36" t="s">
        <v>8</v>
      </c>
      <c r="L36"/>
      <c r="M36"/>
      <c r="N36">
        <v>1</v>
      </c>
      <c r="O36"/>
      <c r="P36"/>
      <c r="Q36"/>
      <c r="R36"/>
      <c r="S36"/>
      <c r="T36" t="s">
        <v>289</v>
      </c>
      <c r="U36">
        <v>-1</v>
      </c>
    </row>
    <row r="37" spans="1:21" ht="15" customHeight="1" x14ac:dyDescent="0.25">
      <c r="A37" s="80" t="s">
        <v>221</v>
      </c>
      <c r="B37" s="80">
        <v>5</v>
      </c>
      <c r="C37" s="95">
        <v>0.41666666666666669</v>
      </c>
      <c r="D37" t="s">
        <v>93</v>
      </c>
      <c r="E37">
        <v>1.5</v>
      </c>
      <c r="F37" t="s">
        <v>187</v>
      </c>
      <c r="G37"/>
      <c r="H37"/>
      <c r="I37"/>
      <c r="J37" t="s">
        <v>275</v>
      </c>
      <c r="K37" t="s">
        <v>8</v>
      </c>
      <c r="L37"/>
      <c r="M37" s="48">
        <v>45327</v>
      </c>
      <c r="N37">
        <v>1</v>
      </c>
      <c r="O37" t="s">
        <v>293</v>
      </c>
      <c r="P37">
        <v>52</v>
      </c>
      <c r="Q37"/>
      <c r="R37"/>
      <c r="S37"/>
      <c r="T37" t="s">
        <v>289</v>
      </c>
      <c r="U37">
        <v>-2</v>
      </c>
    </row>
    <row r="38" spans="1:21" ht="15" customHeight="1" x14ac:dyDescent="0.25">
      <c r="A38" s="80" t="s">
        <v>221</v>
      </c>
      <c r="B38" s="80">
        <v>5</v>
      </c>
      <c r="C38" s="95">
        <v>0.41666666666666669</v>
      </c>
      <c r="D38" t="s">
        <v>93</v>
      </c>
      <c r="E38">
        <v>1.5</v>
      </c>
      <c r="F38" t="s">
        <v>180</v>
      </c>
      <c r="G38"/>
      <c r="H38"/>
      <c r="I38"/>
      <c r="J38" s="76" t="s">
        <v>272</v>
      </c>
      <c r="K38" t="s">
        <v>8</v>
      </c>
      <c r="L38"/>
      <c r="M38" s="48">
        <v>45327</v>
      </c>
      <c r="N38">
        <v>1</v>
      </c>
      <c r="O38"/>
      <c r="P38">
        <v>53</v>
      </c>
      <c r="Q38"/>
      <c r="R38"/>
      <c r="S38"/>
      <c r="T38" t="s">
        <v>289</v>
      </c>
      <c r="U38">
        <v>-1</v>
      </c>
    </row>
    <row r="39" spans="1:21" ht="15" customHeight="1" x14ac:dyDescent="0.25">
      <c r="A39" s="80" t="s">
        <v>221</v>
      </c>
      <c r="B39" s="80">
        <v>5</v>
      </c>
      <c r="C39" s="95">
        <v>0.41666666666666669</v>
      </c>
      <c r="D39" t="s">
        <v>93</v>
      </c>
      <c r="E39">
        <v>1.5</v>
      </c>
      <c r="F39" t="s">
        <v>267</v>
      </c>
      <c r="G39"/>
      <c r="H39"/>
      <c r="I39"/>
      <c r="J39" s="76" t="s">
        <v>272</v>
      </c>
      <c r="K39" t="s">
        <v>8</v>
      </c>
      <c r="L39"/>
      <c r="M39" s="48">
        <v>45327</v>
      </c>
      <c r="N39">
        <v>1</v>
      </c>
      <c r="O39"/>
      <c r="P39">
        <v>54</v>
      </c>
      <c r="Q39"/>
      <c r="R39"/>
      <c r="S39"/>
      <c r="T39" t="s">
        <v>289</v>
      </c>
      <c r="U39">
        <v>-1</v>
      </c>
    </row>
    <row r="40" spans="1:21" ht="15" customHeight="1" x14ac:dyDescent="0.25">
      <c r="A40" s="80" t="s">
        <v>221</v>
      </c>
      <c r="B40" s="80">
        <v>5</v>
      </c>
      <c r="C40" s="95">
        <v>0.41666666666666669</v>
      </c>
      <c r="D40" t="s">
        <v>93</v>
      </c>
      <c r="E40">
        <v>1.5</v>
      </c>
      <c r="F40" t="s">
        <v>199</v>
      </c>
      <c r="G40"/>
      <c r="H40"/>
      <c r="I40"/>
      <c r="J40" s="76" t="s">
        <v>272</v>
      </c>
      <c r="K40" t="s">
        <v>8</v>
      </c>
      <c r="L40"/>
      <c r="M40" s="48">
        <v>45327</v>
      </c>
      <c r="N40">
        <v>1</v>
      </c>
      <c r="O40"/>
      <c r="P40">
        <v>55</v>
      </c>
      <c r="Q40"/>
      <c r="R40"/>
      <c r="S40"/>
      <c r="T40" t="s">
        <v>289</v>
      </c>
      <c r="U40">
        <v>-1</v>
      </c>
    </row>
    <row r="41" spans="1:21" ht="15" customHeight="1" x14ac:dyDescent="0.25">
      <c r="A41" s="80" t="s">
        <v>221</v>
      </c>
      <c r="B41" s="80">
        <v>5</v>
      </c>
      <c r="C41" s="95">
        <v>0.41666666666666669</v>
      </c>
      <c r="D41" t="s">
        <v>93</v>
      </c>
      <c r="E41">
        <v>1.5</v>
      </c>
      <c r="F41" t="s">
        <v>268</v>
      </c>
      <c r="G41"/>
      <c r="H41"/>
      <c r="I41"/>
      <c r="J41" s="76" t="s">
        <v>272</v>
      </c>
      <c r="K41" t="s">
        <v>8</v>
      </c>
      <c r="L41"/>
      <c r="M41" s="48">
        <v>45327</v>
      </c>
      <c r="N41">
        <v>1</v>
      </c>
      <c r="O41"/>
      <c r="P41">
        <v>56</v>
      </c>
      <c r="Q41"/>
      <c r="R41"/>
      <c r="S41"/>
      <c r="T41" t="s">
        <v>289</v>
      </c>
      <c r="U41">
        <v>-1</v>
      </c>
    </row>
    <row r="42" spans="1:21" ht="15" customHeight="1" x14ac:dyDescent="0.25">
      <c r="A42" s="80" t="s">
        <v>221</v>
      </c>
      <c r="B42" s="80">
        <v>5</v>
      </c>
      <c r="C42" s="95">
        <v>0.41666666666666669</v>
      </c>
      <c r="D42" t="s">
        <v>93</v>
      </c>
      <c r="E42">
        <v>1.5</v>
      </c>
      <c r="F42" t="s">
        <v>269</v>
      </c>
      <c r="G42"/>
      <c r="H42"/>
      <c r="I42"/>
      <c r="J42" s="76" t="s">
        <v>272</v>
      </c>
      <c r="K42" t="s">
        <v>8</v>
      </c>
      <c r="L42"/>
      <c r="M42" s="48">
        <v>45327</v>
      </c>
      <c r="N42">
        <v>1</v>
      </c>
      <c r="O42"/>
      <c r="P42">
        <v>93</v>
      </c>
      <c r="Q42"/>
      <c r="R42"/>
      <c r="S42"/>
      <c r="T42" t="s">
        <v>289</v>
      </c>
      <c r="U42">
        <v>-1</v>
      </c>
    </row>
    <row r="43" spans="1:21" ht="15" customHeight="1" x14ac:dyDescent="0.25">
      <c r="A43" s="78">
        <v>13</v>
      </c>
      <c r="B43" s="78">
        <v>5</v>
      </c>
      <c r="C43" s="95">
        <v>0.47916666666666669</v>
      </c>
      <c r="D43" t="s">
        <v>24</v>
      </c>
      <c r="E43">
        <v>1.5</v>
      </c>
      <c r="F43" t="s">
        <v>184</v>
      </c>
      <c r="G43" t="s">
        <v>227</v>
      </c>
      <c r="H43" t="s">
        <v>190</v>
      </c>
      <c r="I43"/>
      <c r="J43" t="s">
        <v>96</v>
      </c>
      <c r="K43" t="s">
        <v>8</v>
      </c>
      <c r="L43"/>
      <c r="M43" s="48">
        <v>45327</v>
      </c>
      <c r="N43">
        <v>3</v>
      </c>
      <c r="O43" t="s">
        <v>261</v>
      </c>
      <c r="P43">
        <v>69</v>
      </c>
      <c r="Q43">
        <v>59</v>
      </c>
      <c r="R43">
        <v>174</v>
      </c>
      <c r="S43"/>
      <c r="T43" t="s">
        <v>289</v>
      </c>
      <c r="U43">
        <v>-2</v>
      </c>
    </row>
    <row r="44" spans="1:21" ht="15" customHeight="1" x14ac:dyDescent="0.25">
      <c r="A44" s="78">
        <v>14</v>
      </c>
      <c r="B44" s="78">
        <v>5</v>
      </c>
      <c r="C44" s="95">
        <v>0.5625</v>
      </c>
      <c r="D44" t="s">
        <v>66</v>
      </c>
      <c r="E44">
        <v>1</v>
      </c>
      <c r="F44" t="s">
        <v>200</v>
      </c>
      <c r="G44" t="s">
        <v>199</v>
      </c>
      <c r="H44"/>
      <c r="I44"/>
      <c r="J44" s="72" t="s">
        <v>15</v>
      </c>
      <c r="K44" t="s">
        <v>8</v>
      </c>
      <c r="L44"/>
      <c r="M44" s="48">
        <v>45327</v>
      </c>
      <c r="N44">
        <v>2</v>
      </c>
      <c r="O44"/>
      <c r="P44">
        <v>239</v>
      </c>
      <c r="Q44">
        <v>55</v>
      </c>
      <c r="R44"/>
      <c r="S44"/>
      <c r="T44" t="s">
        <v>289</v>
      </c>
      <c r="U44">
        <v>-1</v>
      </c>
    </row>
    <row r="45" spans="1:21" ht="15" customHeight="1" x14ac:dyDescent="0.25">
      <c r="A45" s="78">
        <v>15</v>
      </c>
      <c r="B45" s="78">
        <v>5</v>
      </c>
      <c r="C45" s="95">
        <v>0.6875</v>
      </c>
      <c r="D45" t="s">
        <v>5</v>
      </c>
      <c r="E45">
        <v>1</v>
      </c>
      <c r="F45" t="s">
        <v>188</v>
      </c>
      <c r="G45" t="s">
        <v>189</v>
      </c>
      <c r="H45"/>
      <c r="I45"/>
      <c r="J45" s="72" t="s">
        <v>15</v>
      </c>
      <c r="K45" t="s">
        <v>8</v>
      </c>
      <c r="L45"/>
      <c r="M45" s="48">
        <v>45327</v>
      </c>
      <c r="N45">
        <v>2</v>
      </c>
      <c r="O45"/>
      <c r="P45">
        <v>189</v>
      </c>
      <c r="Q45">
        <v>127</v>
      </c>
      <c r="R45"/>
      <c r="S45"/>
      <c r="T45" t="s">
        <v>289</v>
      </c>
      <c r="U45">
        <v>-1</v>
      </c>
    </row>
    <row r="46" spans="1:21" ht="15" customHeight="1" x14ac:dyDescent="0.25">
      <c r="A46" s="78">
        <v>16</v>
      </c>
      <c r="B46" s="78">
        <v>5</v>
      </c>
      <c r="C46" s="95">
        <v>0.72916666666666663</v>
      </c>
      <c r="D46" t="s">
        <v>6</v>
      </c>
      <c r="E46">
        <v>1</v>
      </c>
      <c r="F46" t="s">
        <v>207</v>
      </c>
      <c r="G46"/>
      <c r="H46"/>
      <c r="I46"/>
      <c r="J46" s="72" t="s">
        <v>15</v>
      </c>
      <c r="K46" t="s">
        <v>8</v>
      </c>
      <c r="L46"/>
      <c r="M46" s="48">
        <v>45327</v>
      </c>
      <c r="N46">
        <v>1</v>
      </c>
      <c r="O46"/>
      <c r="P46">
        <v>190</v>
      </c>
      <c r="Q46"/>
      <c r="R46"/>
      <c r="S46"/>
      <c r="T46" t="s">
        <v>289</v>
      </c>
      <c r="U46">
        <v>-1</v>
      </c>
    </row>
    <row r="47" spans="1:21" ht="15" customHeight="1" x14ac:dyDescent="0.25">
      <c r="A47" s="78">
        <v>17</v>
      </c>
      <c r="B47" s="78">
        <v>5</v>
      </c>
      <c r="C47" s="95">
        <v>0.77083333333333337</v>
      </c>
      <c r="D47" t="s">
        <v>22</v>
      </c>
      <c r="E47">
        <v>1</v>
      </c>
      <c r="F47" t="s">
        <v>208</v>
      </c>
      <c r="G47"/>
      <c r="H47"/>
      <c r="I47"/>
      <c r="J47" s="72" t="s">
        <v>15</v>
      </c>
      <c r="K47" t="s">
        <v>8</v>
      </c>
      <c r="L47"/>
      <c r="M47" s="48">
        <v>45327</v>
      </c>
      <c r="N47">
        <v>1</v>
      </c>
      <c r="O47"/>
      <c r="P47">
        <v>123</v>
      </c>
      <c r="Q47"/>
      <c r="R47"/>
      <c r="S47"/>
      <c r="T47" t="s">
        <v>289</v>
      </c>
      <c r="U47">
        <v>-1</v>
      </c>
    </row>
    <row r="48" spans="1:21" ht="15" customHeight="1" x14ac:dyDescent="0.25">
      <c r="A48" s="78">
        <v>18</v>
      </c>
      <c r="B48" s="78">
        <v>5</v>
      </c>
      <c r="C48" s="95">
        <v>0.83333333333333337</v>
      </c>
      <c r="D48" t="s">
        <v>17</v>
      </c>
      <c r="E48">
        <v>3</v>
      </c>
      <c r="F48"/>
      <c r="G48"/>
      <c r="H48"/>
      <c r="I48"/>
      <c r="J48" t="s">
        <v>18</v>
      </c>
      <c r="K48" t="s">
        <v>8</v>
      </c>
      <c r="L48" t="s">
        <v>228</v>
      </c>
      <c r="M48" s="48">
        <v>45327</v>
      </c>
      <c r="N48">
        <v>0</v>
      </c>
      <c r="O48" t="s">
        <v>256</v>
      </c>
      <c r="P48"/>
      <c r="Q48"/>
      <c r="R48"/>
      <c r="S48"/>
      <c r="T48" t="s">
        <v>289</v>
      </c>
      <c r="U48"/>
    </row>
    <row r="49" spans="1:21" ht="15" customHeight="1" x14ac:dyDescent="0.25">
      <c r="A49" s="78">
        <v>19</v>
      </c>
      <c r="B49" s="78">
        <v>6</v>
      </c>
      <c r="C49" s="95">
        <v>0.4375</v>
      </c>
      <c r="D49" t="s">
        <v>93</v>
      </c>
      <c r="E49">
        <v>1</v>
      </c>
      <c r="F49" t="s">
        <v>162</v>
      </c>
      <c r="G49" t="s">
        <v>160</v>
      </c>
      <c r="H49" t="s">
        <v>161</v>
      </c>
      <c r="I49"/>
      <c r="J49" s="72" t="s">
        <v>15</v>
      </c>
      <c r="K49" t="s">
        <v>8</v>
      </c>
      <c r="L49"/>
      <c r="M49" s="48">
        <v>45328</v>
      </c>
      <c r="N49">
        <v>3</v>
      </c>
      <c r="O49"/>
      <c r="P49">
        <v>195</v>
      </c>
      <c r="Q49">
        <v>47</v>
      </c>
      <c r="R49">
        <v>201</v>
      </c>
      <c r="S49"/>
      <c r="T49" t="s">
        <v>289</v>
      </c>
      <c r="U49">
        <v>-1</v>
      </c>
    </row>
    <row r="50" spans="1:21" ht="15" customHeight="1" x14ac:dyDescent="0.25">
      <c r="A50" s="78">
        <v>20</v>
      </c>
      <c r="B50" s="78">
        <v>6</v>
      </c>
      <c r="C50" s="95">
        <v>0.47916666666666669</v>
      </c>
      <c r="D50" t="s">
        <v>69</v>
      </c>
      <c r="E50">
        <v>1</v>
      </c>
      <c r="F50" t="s">
        <v>172</v>
      </c>
      <c r="G50"/>
      <c r="H50"/>
      <c r="I50"/>
      <c r="J50" s="72" t="s">
        <v>15</v>
      </c>
      <c r="K50" t="s">
        <v>8</v>
      </c>
      <c r="L50"/>
      <c r="M50" s="48">
        <v>45328</v>
      </c>
      <c r="N50">
        <v>1</v>
      </c>
      <c r="O50"/>
      <c r="P50">
        <v>251</v>
      </c>
      <c r="Q50"/>
      <c r="R50"/>
      <c r="S50"/>
      <c r="T50" t="s">
        <v>289</v>
      </c>
      <c r="U50">
        <v>-1</v>
      </c>
    </row>
    <row r="51" spans="1:21" ht="15" customHeight="1" x14ac:dyDescent="0.25">
      <c r="A51" s="78">
        <v>21</v>
      </c>
      <c r="B51" s="78">
        <v>6</v>
      </c>
      <c r="C51" s="95">
        <v>0.625</v>
      </c>
      <c r="D51" t="s">
        <v>20</v>
      </c>
      <c r="E51">
        <v>3</v>
      </c>
      <c r="F51"/>
      <c r="G51"/>
      <c r="H51"/>
      <c r="I51"/>
      <c r="J51" t="s">
        <v>18</v>
      </c>
      <c r="K51" t="s">
        <v>8</v>
      </c>
      <c r="L51"/>
      <c r="M51" s="48">
        <v>45328</v>
      </c>
      <c r="N51" s="76">
        <v>0</v>
      </c>
      <c r="O51" t="s">
        <v>256</v>
      </c>
      <c r="P51"/>
      <c r="Q51"/>
      <c r="R51"/>
      <c r="S51"/>
      <c r="T51" t="s">
        <v>289</v>
      </c>
      <c r="U51">
        <v>-1</v>
      </c>
    </row>
    <row r="52" spans="1:21" ht="15" customHeight="1" x14ac:dyDescent="0.25">
      <c r="A52" s="78">
        <v>22</v>
      </c>
      <c r="B52" s="78">
        <v>7</v>
      </c>
      <c r="C52" s="95">
        <v>0.33333333333333331</v>
      </c>
      <c r="D52" t="s">
        <v>79</v>
      </c>
      <c r="E52">
        <v>1</v>
      </c>
      <c r="F52" t="s">
        <v>183</v>
      </c>
      <c r="G52"/>
      <c r="H52"/>
      <c r="I52"/>
      <c r="J52" s="72" t="s">
        <v>15</v>
      </c>
      <c r="K52" t="s">
        <v>8</v>
      </c>
      <c r="L52"/>
      <c r="M52" s="48">
        <v>45329</v>
      </c>
      <c r="N52">
        <v>1</v>
      </c>
      <c r="O52"/>
      <c r="P52">
        <v>121</v>
      </c>
      <c r="Q52"/>
      <c r="R52"/>
      <c r="S52"/>
      <c r="T52" t="s">
        <v>289</v>
      </c>
      <c r="U52">
        <v>-1</v>
      </c>
    </row>
    <row r="53" spans="1:21" ht="15" customHeight="1" x14ac:dyDescent="0.25">
      <c r="A53" s="78">
        <v>23</v>
      </c>
      <c r="B53" s="78">
        <v>7</v>
      </c>
      <c r="C53" s="95">
        <v>0.41666666666666669</v>
      </c>
      <c r="D53" t="s">
        <v>72</v>
      </c>
      <c r="E53">
        <v>1</v>
      </c>
      <c r="F53" t="s">
        <v>170</v>
      </c>
      <c r="G53" t="s">
        <v>171</v>
      </c>
      <c r="H53"/>
      <c r="I53"/>
      <c r="J53" s="72" t="s">
        <v>15</v>
      </c>
      <c r="K53" t="s">
        <v>8</v>
      </c>
      <c r="L53"/>
      <c r="M53" s="48">
        <v>45329</v>
      </c>
      <c r="N53">
        <v>2</v>
      </c>
      <c r="O53"/>
      <c r="P53">
        <v>209</v>
      </c>
      <c r="Q53">
        <v>167</v>
      </c>
      <c r="R53"/>
      <c r="S53"/>
      <c r="T53" t="s">
        <v>289</v>
      </c>
      <c r="U53">
        <v>-1</v>
      </c>
    </row>
    <row r="54" spans="1:21" ht="15" customHeight="1" x14ac:dyDescent="0.25">
      <c r="A54" s="78">
        <v>24</v>
      </c>
      <c r="B54" s="78">
        <v>7</v>
      </c>
      <c r="C54" s="95">
        <v>0.45833333333333331</v>
      </c>
      <c r="D54" t="s">
        <v>13</v>
      </c>
      <c r="E54">
        <v>1</v>
      </c>
      <c r="F54" t="s">
        <v>160</v>
      </c>
      <c r="G54"/>
      <c r="H54"/>
      <c r="I54"/>
      <c r="J54" s="72" t="s">
        <v>15</v>
      </c>
      <c r="K54" t="s">
        <v>8</v>
      </c>
      <c r="L54"/>
      <c r="M54" s="48">
        <v>45329</v>
      </c>
      <c r="N54">
        <v>1</v>
      </c>
      <c r="O54"/>
      <c r="P54">
        <v>47</v>
      </c>
      <c r="Q54"/>
      <c r="R54"/>
      <c r="S54"/>
      <c r="T54" t="s">
        <v>289</v>
      </c>
      <c r="U54">
        <v>-1</v>
      </c>
    </row>
    <row r="55" spans="1:21" ht="15" customHeight="1" x14ac:dyDescent="0.25">
      <c r="A55" s="78">
        <v>25</v>
      </c>
      <c r="B55" s="78">
        <v>7</v>
      </c>
      <c r="C55" s="95">
        <v>0.5</v>
      </c>
      <c r="D55" t="s">
        <v>24</v>
      </c>
      <c r="E55">
        <v>1</v>
      </c>
      <c r="F55" t="s">
        <v>184</v>
      </c>
      <c r="G55"/>
      <c r="H55"/>
      <c r="I55"/>
      <c r="J55" t="s">
        <v>21</v>
      </c>
      <c r="K55" t="s">
        <v>8</v>
      </c>
      <c r="L55"/>
      <c r="M55" s="48">
        <v>45329</v>
      </c>
      <c r="N55">
        <v>1</v>
      </c>
      <c r="O55" t="s">
        <v>253</v>
      </c>
      <c r="P55">
        <v>69</v>
      </c>
      <c r="Q55"/>
      <c r="R55"/>
      <c r="S55"/>
      <c r="T55" t="s">
        <v>289</v>
      </c>
      <c r="U55">
        <v>-2</v>
      </c>
    </row>
    <row r="56" spans="1:21" ht="15" customHeight="1" x14ac:dyDescent="0.25">
      <c r="A56" s="78">
        <v>26</v>
      </c>
      <c r="B56" s="78">
        <v>7</v>
      </c>
      <c r="C56" s="95">
        <v>0.58333333333333337</v>
      </c>
      <c r="D56" t="s">
        <v>19</v>
      </c>
      <c r="E56">
        <v>1</v>
      </c>
      <c r="F56" t="s">
        <v>179</v>
      </c>
      <c r="G56" t="s">
        <v>180</v>
      </c>
      <c r="H56"/>
      <c r="I56"/>
      <c r="J56" t="s">
        <v>283</v>
      </c>
      <c r="K56" t="s">
        <v>8</v>
      </c>
      <c r="L56"/>
      <c r="M56" s="48">
        <v>45329</v>
      </c>
      <c r="N56">
        <v>2</v>
      </c>
      <c r="O56" t="s">
        <v>291</v>
      </c>
      <c r="P56">
        <v>132</v>
      </c>
      <c r="Q56">
        <v>53</v>
      </c>
      <c r="R56"/>
      <c r="S56"/>
      <c r="T56" t="s">
        <v>289</v>
      </c>
      <c r="U56">
        <v>-2</v>
      </c>
    </row>
    <row r="57" spans="1:21" ht="15" customHeight="1" x14ac:dyDescent="0.25">
      <c r="A57" s="78">
        <v>27</v>
      </c>
      <c r="B57" s="78">
        <v>7</v>
      </c>
      <c r="C57" s="95">
        <v>0.72916666666666663</v>
      </c>
      <c r="D57" t="s">
        <v>6</v>
      </c>
      <c r="E57">
        <v>1</v>
      </c>
      <c r="F57" t="s">
        <v>209</v>
      </c>
      <c r="G57" t="s">
        <v>210</v>
      </c>
      <c r="H57"/>
      <c r="I57"/>
      <c r="J57" t="s">
        <v>7</v>
      </c>
      <c r="K57" t="s">
        <v>8</v>
      </c>
      <c r="L57"/>
      <c r="M57" s="48">
        <v>45329</v>
      </c>
      <c r="N57">
        <v>2</v>
      </c>
      <c r="O57" t="s">
        <v>254</v>
      </c>
      <c r="P57">
        <v>241</v>
      </c>
      <c r="Q57">
        <v>137</v>
      </c>
      <c r="R57"/>
      <c r="S57"/>
      <c r="T57" t="s">
        <v>289</v>
      </c>
      <c r="U57">
        <v>-2</v>
      </c>
    </row>
    <row r="58" spans="1:21" ht="15" customHeight="1" x14ac:dyDescent="0.25">
      <c r="A58" s="78">
        <v>28</v>
      </c>
      <c r="B58" s="78">
        <v>8</v>
      </c>
      <c r="C58" s="95">
        <v>0.41666666666666669</v>
      </c>
      <c r="D58" t="s">
        <v>72</v>
      </c>
      <c r="E58">
        <v>1</v>
      </c>
      <c r="F58" t="s">
        <v>163</v>
      </c>
      <c r="G58"/>
      <c r="H58"/>
      <c r="I58"/>
      <c r="J58" s="72" t="s">
        <v>15</v>
      </c>
      <c r="K58" t="s">
        <v>8</v>
      </c>
      <c r="L58"/>
      <c r="M58" s="48">
        <v>45330</v>
      </c>
      <c r="N58">
        <v>1</v>
      </c>
      <c r="O58"/>
      <c r="P58">
        <v>38</v>
      </c>
      <c r="Q58"/>
      <c r="R58"/>
      <c r="S58"/>
      <c r="T58" t="s">
        <v>289</v>
      </c>
      <c r="U58">
        <v>-1</v>
      </c>
    </row>
    <row r="59" spans="1:21" ht="15" customHeight="1" x14ac:dyDescent="0.25">
      <c r="A59" s="78">
        <v>29</v>
      </c>
      <c r="B59" s="78">
        <v>8</v>
      </c>
      <c r="C59" s="95">
        <v>0.41666666666666669</v>
      </c>
      <c r="D59" t="s">
        <v>93</v>
      </c>
      <c r="E59">
        <v>1.5</v>
      </c>
      <c r="F59"/>
      <c r="G59"/>
      <c r="H59"/>
      <c r="I59"/>
      <c r="J59" s="76" t="s">
        <v>65</v>
      </c>
      <c r="K59" t="s">
        <v>8</v>
      </c>
      <c r="L59"/>
      <c r="M59" s="48">
        <v>45330</v>
      </c>
      <c r="N59" s="76">
        <v>0</v>
      </c>
      <c r="O59"/>
      <c r="P59"/>
      <c r="Q59"/>
      <c r="R59"/>
      <c r="S59"/>
      <c r="T59" t="s">
        <v>289</v>
      </c>
      <c r="U59">
        <v>-1</v>
      </c>
    </row>
    <row r="60" spans="1:21" ht="15" customHeight="1" x14ac:dyDescent="0.25">
      <c r="A60" s="78">
        <v>30</v>
      </c>
      <c r="B60" s="78">
        <v>8</v>
      </c>
      <c r="C60" s="95">
        <v>0.64583333333333337</v>
      </c>
      <c r="D60" t="s">
        <v>70</v>
      </c>
      <c r="E60">
        <v>1</v>
      </c>
      <c r="F60" t="s">
        <v>166</v>
      </c>
      <c r="G60"/>
      <c r="H60"/>
      <c r="I60"/>
      <c r="J60" s="72" t="s">
        <v>15</v>
      </c>
      <c r="K60" t="s">
        <v>8</v>
      </c>
      <c r="L60"/>
      <c r="M60" s="48">
        <v>45330</v>
      </c>
      <c r="N60">
        <v>1</v>
      </c>
      <c r="O60"/>
      <c r="P60">
        <v>185</v>
      </c>
      <c r="Q60"/>
      <c r="R60"/>
      <c r="S60"/>
      <c r="T60" t="s">
        <v>289</v>
      </c>
      <c r="U60">
        <v>-1</v>
      </c>
    </row>
    <row r="61" spans="1:21" ht="15" customHeight="1" x14ac:dyDescent="0.25">
      <c r="A61" s="78">
        <v>31</v>
      </c>
      <c r="B61" s="78">
        <v>9</v>
      </c>
      <c r="C61" s="95">
        <v>0.4375</v>
      </c>
      <c r="D61" t="s">
        <v>93</v>
      </c>
      <c r="E61">
        <v>1</v>
      </c>
      <c r="F61" t="s">
        <v>188</v>
      </c>
      <c r="G61" t="s">
        <v>189</v>
      </c>
      <c r="H61"/>
      <c r="I61"/>
      <c r="J61" s="72" t="s">
        <v>15</v>
      </c>
      <c r="K61" t="s">
        <v>8</v>
      </c>
      <c r="L61"/>
      <c r="M61" s="48">
        <v>45331</v>
      </c>
      <c r="N61">
        <v>2</v>
      </c>
      <c r="O61"/>
      <c r="P61">
        <v>189</v>
      </c>
      <c r="Q61">
        <v>127</v>
      </c>
      <c r="R61"/>
      <c r="S61"/>
      <c r="T61" t="s">
        <v>289</v>
      </c>
      <c r="U61">
        <v>-1</v>
      </c>
    </row>
    <row r="62" spans="1:21" ht="15" customHeight="1" x14ac:dyDescent="0.25">
      <c r="A62" s="78">
        <v>32</v>
      </c>
      <c r="B62" s="78">
        <v>9</v>
      </c>
      <c r="C62" s="95">
        <v>0.47916666666666669</v>
      </c>
      <c r="D62" t="s">
        <v>69</v>
      </c>
      <c r="E62">
        <v>1</v>
      </c>
      <c r="F62" t="s">
        <v>190</v>
      </c>
      <c r="G62"/>
      <c r="H62"/>
      <c r="I62"/>
      <c r="J62" s="72" t="s">
        <v>15</v>
      </c>
      <c r="K62" t="s">
        <v>8</v>
      </c>
      <c r="L62"/>
      <c r="M62" s="48">
        <v>45331</v>
      </c>
      <c r="N62">
        <v>1</v>
      </c>
      <c r="O62"/>
      <c r="P62">
        <v>174</v>
      </c>
      <c r="Q62"/>
      <c r="R62"/>
      <c r="S62"/>
      <c r="T62" t="s">
        <v>289</v>
      </c>
      <c r="U62">
        <v>-1</v>
      </c>
    </row>
    <row r="63" spans="1:21" ht="15" customHeight="1" x14ac:dyDescent="0.25">
      <c r="A63" s="78">
        <v>33</v>
      </c>
      <c r="B63" s="78">
        <v>9</v>
      </c>
      <c r="C63" s="95">
        <v>0.52083333333333337</v>
      </c>
      <c r="D63" t="s">
        <v>25</v>
      </c>
      <c r="E63">
        <v>1.5</v>
      </c>
      <c r="F63" t="s">
        <v>184</v>
      </c>
      <c r="G63" t="s">
        <v>187</v>
      </c>
      <c r="H63" t="s">
        <v>172</v>
      </c>
      <c r="I63"/>
      <c r="J63" t="s">
        <v>96</v>
      </c>
      <c r="K63" t="s">
        <v>8</v>
      </c>
      <c r="L63"/>
      <c r="M63" s="48">
        <v>45331</v>
      </c>
      <c r="N63">
        <v>3</v>
      </c>
      <c r="O63" t="s">
        <v>261</v>
      </c>
      <c r="P63">
        <v>69</v>
      </c>
      <c r="Q63">
        <v>52</v>
      </c>
      <c r="R63">
        <v>251</v>
      </c>
      <c r="S63"/>
      <c r="T63" t="s">
        <v>289</v>
      </c>
      <c r="U63">
        <v>-2</v>
      </c>
    </row>
    <row r="64" spans="1:21" ht="15" customHeight="1" x14ac:dyDescent="0.25">
      <c r="A64" s="78">
        <v>34</v>
      </c>
      <c r="B64" s="78">
        <v>12</v>
      </c>
      <c r="C64" s="95">
        <v>0.33333333333333331</v>
      </c>
      <c r="D64" t="s">
        <v>79</v>
      </c>
      <c r="E64">
        <v>1</v>
      </c>
      <c r="F64" t="s">
        <v>183</v>
      </c>
      <c r="G64"/>
      <c r="H64"/>
      <c r="I64"/>
      <c r="J64" t="s">
        <v>283</v>
      </c>
      <c r="K64" t="s">
        <v>8</v>
      </c>
      <c r="L64"/>
      <c r="M64" s="48">
        <v>45334</v>
      </c>
      <c r="N64">
        <v>1</v>
      </c>
      <c r="O64" t="s">
        <v>284</v>
      </c>
      <c r="P64">
        <v>121</v>
      </c>
      <c r="Q64"/>
      <c r="R64"/>
      <c r="S64"/>
      <c r="T64" t="s">
        <v>289</v>
      </c>
      <c r="U64">
        <v>-2</v>
      </c>
    </row>
    <row r="65" spans="1:21" ht="15" customHeight="1" x14ac:dyDescent="0.25">
      <c r="A65" s="78">
        <v>35</v>
      </c>
      <c r="B65" s="78">
        <v>12</v>
      </c>
      <c r="C65" s="95">
        <v>0.375</v>
      </c>
      <c r="D65" t="s">
        <v>85</v>
      </c>
      <c r="E65">
        <v>1</v>
      </c>
      <c r="F65" t="s">
        <v>150</v>
      </c>
      <c r="G65" t="s">
        <v>149</v>
      </c>
      <c r="H65"/>
      <c r="I65"/>
      <c r="J65" t="s">
        <v>283</v>
      </c>
      <c r="K65" t="s">
        <v>8</v>
      </c>
      <c r="L65"/>
      <c r="M65" s="48">
        <v>45334</v>
      </c>
      <c r="N65">
        <v>2</v>
      </c>
      <c r="O65" t="s">
        <v>291</v>
      </c>
      <c r="P65">
        <v>125</v>
      </c>
      <c r="Q65">
        <v>118</v>
      </c>
      <c r="R65"/>
      <c r="S65"/>
      <c r="T65" t="s">
        <v>289</v>
      </c>
      <c r="U65">
        <v>-2</v>
      </c>
    </row>
    <row r="66" spans="1:21" ht="15" customHeight="1" x14ac:dyDescent="0.25">
      <c r="A66" s="78">
        <v>36</v>
      </c>
      <c r="B66" s="78">
        <v>12</v>
      </c>
      <c r="C66" s="95">
        <v>0.41666666666666669</v>
      </c>
      <c r="D66" t="s">
        <v>93</v>
      </c>
      <c r="E66">
        <v>1.5</v>
      </c>
      <c r="F66"/>
      <c r="G66"/>
      <c r="H66"/>
      <c r="I66"/>
      <c r="J66" s="76" t="s">
        <v>65</v>
      </c>
      <c r="K66" t="s">
        <v>8</v>
      </c>
      <c r="L66"/>
      <c r="M66" s="48">
        <v>45334</v>
      </c>
      <c r="N66" s="76">
        <v>0</v>
      </c>
      <c r="O66"/>
      <c r="P66"/>
      <c r="Q66"/>
      <c r="R66"/>
      <c r="S66"/>
      <c r="T66" t="s">
        <v>289</v>
      </c>
      <c r="U66">
        <v>-1</v>
      </c>
    </row>
    <row r="67" spans="1:21" ht="15" customHeight="1" x14ac:dyDescent="0.25">
      <c r="A67" s="78">
        <v>37</v>
      </c>
      <c r="B67" s="78">
        <v>12</v>
      </c>
      <c r="C67" s="95">
        <v>0.47916666666666669</v>
      </c>
      <c r="D67" t="s">
        <v>69</v>
      </c>
      <c r="E67">
        <v>1</v>
      </c>
      <c r="F67" t="s">
        <v>190</v>
      </c>
      <c r="G67"/>
      <c r="H67"/>
      <c r="I67"/>
      <c r="J67" t="s">
        <v>283</v>
      </c>
      <c r="K67" t="s">
        <v>8</v>
      </c>
      <c r="L67"/>
      <c r="M67" s="48">
        <v>45334</v>
      </c>
      <c r="N67">
        <v>1</v>
      </c>
      <c r="O67" t="s">
        <v>284</v>
      </c>
      <c r="P67">
        <v>174</v>
      </c>
      <c r="Q67"/>
      <c r="R67"/>
      <c r="S67"/>
      <c r="T67" t="s">
        <v>289</v>
      </c>
      <c r="U67">
        <v>-2</v>
      </c>
    </row>
    <row r="68" spans="1:21" ht="15" customHeight="1" x14ac:dyDescent="0.25">
      <c r="A68" s="78">
        <v>38</v>
      </c>
      <c r="B68" s="78">
        <v>12</v>
      </c>
      <c r="C68" s="95">
        <v>0.52083333333333337</v>
      </c>
      <c r="D68" t="s">
        <v>14</v>
      </c>
      <c r="E68">
        <v>1</v>
      </c>
      <c r="F68" t="s">
        <v>184</v>
      </c>
      <c r="G68"/>
      <c r="H68"/>
      <c r="I68"/>
      <c r="J68" t="s">
        <v>21</v>
      </c>
      <c r="K68" t="s">
        <v>8</v>
      </c>
      <c r="L68"/>
      <c r="M68" s="48">
        <v>45334</v>
      </c>
      <c r="N68">
        <v>1</v>
      </c>
      <c r="O68" t="s">
        <v>253</v>
      </c>
      <c r="P68">
        <v>69</v>
      </c>
      <c r="Q68"/>
      <c r="R68"/>
      <c r="S68"/>
      <c r="T68" t="s">
        <v>289</v>
      </c>
      <c r="U68">
        <v>-2</v>
      </c>
    </row>
    <row r="69" spans="1:21" ht="15" customHeight="1" x14ac:dyDescent="0.25">
      <c r="A69" s="78">
        <v>39</v>
      </c>
      <c r="B69" s="78">
        <v>12</v>
      </c>
      <c r="C69" s="95">
        <v>0.75</v>
      </c>
      <c r="D69" t="s">
        <v>11</v>
      </c>
      <c r="E69">
        <v>1</v>
      </c>
      <c r="F69" t="s">
        <v>229</v>
      </c>
      <c r="G69"/>
      <c r="H69"/>
      <c r="I69"/>
      <c r="J69" s="72" t="s">
        <v>15</v>
      </c>
      <c r="K69" t="s">
        <v>8</v>
      </c>
      <c r="L69"/>
      <c r="M69" s="48">
        <v>45334</v>
      </c>
      <c r="N69">
        <v>1</v>
      </c>
      <c r="O69"/>
      <c r="P69">
        <v>237</v>
      </c>
      <c r="Q69"/>
      <c r="R69"/>
      <c r="S69"/>
      <c r="T69" t="s">
        <v>289</v>
      </c>
      <c r="U69">
        <v>-1</v>
      </c>
    </row>
    <row r="70" spans="1:21" ht="15" customHeight="1" x14ac:dyDescent="0.25">
      <c r="A70" s="78">
        <v>40</v>
      </c>
      <c r="B70" s="78">
        <v>12</v>
      </c>
      <c r="C70" s="95">
        <v>0.83333333333333337</v>
      </c>
      <c r="D70" t="s">
        <v>17</v>
      </c>
      <c r="E70">
        <v>3</v>
      </c>
      <c r="F70"/>
      <c r="G70"/>
      <c r="H70"/>
      <c r="I70"/>
      <c r="J70" t="s">
        <v>18</v>
      </c>
      <c r="K70" t="s">
        <v>8</v>
      </c>
      <c r="L70" t="s">
        <v>292</v>
      </c>
      <c r="M70" s="48">
        <v>45334</v>
      </c>
      <c r="N70">
        <v>0</v>
      </c>
      <c r="O70" t="s">
        <v>256</v>
      </c>
      <c r="P70"/>
      <c r="Q70"/>
      <c r="R70"/>
      <c r="S70"/>
      <c r="T70" t="s">
        <v>289</v>
      </c>
      <c r="U70"/>
    </row>
    <row r="71" spans="1:21" ht="15" customHeight="1" x14ac:dyDescent="0.25">
      <c r="A71" s="78">
        <v>41</v>
      </c>
      <c r="B71" s="78">
        <v>13</v>
      </c>
      <c r="C71" s="95">
        <v>0.4375</v>
      </c>
      <c r="D71" t="s">
        <v>93</v>
      </c>
      <c r="E71">
        <v>1</v>
      </c>
      <c r="F71" t="s">
        <v>162</v>
      </c>
      <c r="G71" t="s">
        <v>160</v>
      </c>
      <c r="H71" t="s">
        <v>161</v>
      </c>
      <c r="I71"/>
      <c r="J71" s="72" t="s">
        <v>230</v>
      </c>
      <c r="K71" t="s">
        <v>8</v>
      </c>
      <c r="L71"/>
      <c r="M71" s="48">
        <v>45335</v>
      </c>
      <c r="N71">
        <v>3</v>
      </c>
      <c r="O71"/>
      <c r="P71">
        <v>195</v>
      </c>
      <c r="Q71">
        <v>47</v>
      </c>
      <c r="R71">
        <v>201</v>
      </c>
      <c r="S71"/>
      <c r="T71" t="s">
        <v>289</v>
      </c>
      <c r="U71">
        <v>-1</v>
      </c>
    </row>
    <row r="72" spans="1:21" ht="15" customHeight="1" x14ac:dyDescent="0.25">
      <c r="A72" s="78">
        <v>42</v>
      </c>
      <c r="B72" s="78">
        <v>13</v>
      </c>
      <c r="C72" s="95">
        <v>0.54166666666666663</v>
      </c>
      <c r="D72" t="s">
        <v>25</v>
      </c>
      <c r="E72">
        <v>1</v>
      </c>
      <c r="F72" t="s">
        <v>204</v>
      </c>
      <c r="G72"/>
      <c r="H72"/>
      <c r="I72"/>
      <c r="J72" s="72" t="s">
        <v>15</v>
      </c>
      <c r="K72" t="s">
        <v>8</v>
      </c>
      <c r="L72"/>
      <c r="M72" s="48">
        <v>45335</v>
      </c>
      <c r="N72">
        <v>1</v>
      </c>
      <c r="O72"/>
      <c r="P72">
        <v>120</v>
      </c>
      <c r="Q72"/>
      <c r="R72"/>
      <c r="S72"/>
      <c r="T72" t="s">
        <v>289</v>
      </c>
      <c r="U72">
        <v>-1</v>
      </c>
    </row>
    <row r="73" spans="1:21" ht="15" customHeight="1" x14ac:dyDescent="0.25">
      <c r="A73" s="78">
        <v>43</v>
      </c>
      <c r="B73" s="78">
        <v>13</v>
      </c>
      <c r="C73" s="95">
        <v>0.625</v>
      </c>
      <c r="D73" t="s">
        <v>20</v>
      </c>
      <c r="E73">
        <v>3</v>
      </c>
      <c r="F73"/>
      <c r="G73"/>
      <c r="H73"/>
      <c r="I73"/>
      <c r="J73" t="s">
        <v>18</v>
      </c>
      <c r="K73" t="s">
        <v>8</v>
      </c>
      <c r="L73"/>
      <c r="M73" s="48">
        <v>45335</v>
      </c>
      <c r="N73" s="76">
        <v>0</v>
      </c>
      <c r="O73" t="s">
        <v>256</v>
      </c>
      <c r="P73"/>
      <c r="Q73"/>
      <c r="R73"/>
      <c r="S73"/>
      <c r="T73" t="s">
        <v>289</v>
      </c>
      <c r="U73">
        <v>-1</v>
      </c>
    </row>
    <row r="74" spans="1:21" ht="15" customHeight="1" x14ac:dyDescent="0.25">
      <c r="A74" s="78">
        <v>44</v>
      </c>
      <c r="B74" s="78">
        <v>14</v>
      </c>
      <c r="C74" s="95">
        <v>0.33333333333333331</v>
      </c>
      <c r="D74" t="s">
        <v>79</v>
      </c>
      <c r="E74">
        <v>1</v>
      </c>
      <c r="F74" t="s">
        <v>183</v>
      </c>
      <c r="G74"/>
      <c r="H74"/>
      <c r="I74"/>
      <c r="J74" s="72" t="s">
        <v>15</v>
      </c>
      <c r="K74" t="s">
        <v>8</v>
      </c>
      <c r="L74"/>
      <c r="M74" s="48">
        <v>45336</v>
      </c>
      <c r="N74">
        <v>1</v>
      </c>
      <c r="O74"/>
      <c r="P74">
        <v>121</v>
      </c>
      <c r="Q74"/>
      <c r="R74"/>
      <c r="S74"/>
      <c r="T74" t="s">
        <v>289</v>
      </c>
      <c r="U74">
        <v>-1</v>
      </c>
    </row>
    <row r="75" spans="1:21" ht="15" customHeight="1" x14ac:dyDescent="0.25">
      <c r="A75" s="78">
        <v>45</v>
      </c>
      <c r="B75" s="78">
        <v>14</v>
      </c>
      <c r="C75" s="95">
        <v>0.375</v>
      </c>
      <c r="D75" t="s">
        <v>85</v>
      </c>
      <c r="E75">
        <v>1</v>
      </c>
      <c r="F75" t="s">
        <v>145</v>
      </c>
      <c r="G75"/>
      <c r="H75"/>
      <c r="I75"/>
      <c r="J75" s="72" t="s">
        <v>15</v>
      </c>
      <c r="K75" t="s">
        <v>8</v>
      </c>
      <c r="L75"/>
      <c r="M75" s="48">
        <v>45336</v>
      </c>
      <c r="N75">
        <v>1</v>
      </c>
      <c r="O75"/>
      <c r="P75">
        <v>163</v>
      </c>
      <c r="Q75"/>
      <c r="R75"/>
      <c r="S75"/>
      <c r="T75" t="s">
        <v>289</v>
      </c>
      <c r="U75">
        <v>-1</v>
      </c>
    </row>
    <row r="76" spans="1:21" ht="15" customHeight="1" x14ac:dyDescent="0.25">
      <c r="A76" s="78">
        <v>46</v>
      </c>
      <c r="B76" s="78">
        <v>14</v>
      </c>
      <c r="C76" s="95">
        <v>0.41666666666666669</v>
      </c>
      <c r="D76" t="s">
        <v>72</v>
      </c>
      <c r="E76">
        <v>1</v>
      </c>
      <c r="F76" t="s">
        <v>170</v>
      </c>
      <c r="G76" t="s">
        <v>171</v>
      </c>
      <c r="H76"/>
      <c r="I76"/>
      <c r="J76" s="72" t="s">
        <v>15</v>
      </c>
      <c r="K76" t="s">
        <v>8</v>
      </c>
      <c r="L76"/>
      <c r="M76" s="48">
        <v>45336</v>
      </c>
      <c r="N76">
        <v>2</v>
      </c>
      <c r="O76"/>
      <c r="P76">
        <v>209</v>
      </c>
      <c r="Q76">
        <v>167</v>
      </c>
      <c r="R76"/>
      <c r="S76"/>
      <c r="T76" t="s">
        <v>289</v>
      </c>
      <c r="U76">
        <v>-1</v>
      </c>
    </row>
    <row r="77" spans="1:21" ht="15" customHeight="1" x14ac:dyDescent="0.25">
      <c r="A77" s="78">
        <v>47</v>
      </c>
      <c r="B77" s="78">
        <v>14</v>
      </c>
      <c r="C77" s="95">
        <v>0.5</v>
      </c>
      <c r="D77" t="s">
        <v>24</v>
      </c>
      <c r="E77">
        <v>1</v>
      </c>
      <c r="F77" t="s">
        <v>180</v>
      </c>
      <c r="G77"/>
      <c r="H77"/>
      <c r="I77"/>
      <c r="J77" t="s">
        <v>21</v>
      </c>
      <c r="K77" t="s">
        <v>8</v>
      </c>
      <c r="L77"/>
      <c r="M77" s="48">
        <v>45336</v>
      </c>
      <c r="N77">
        <v>1</v>
      </c>
      <c r="O77" t="s">
        <v>253</v>
      </c>
      <c r="P77">
        <v>53</v>
      </c>
      <c r="Q77"/>
      <c r="R77"/>
      <c r="S77"/>
      <c r="T77" t="s">
        <v>289</v>
      </c>
      <c r="U77">
        <v>-2</v>
      </c>
    </row>
    <row r="78" spans="1:21" ht="15" customHeight="1" x14ac:dyDescent="0.25">
      <c r="A78" s="78">
        <v>48</v>
      </c>
      <c r="B78" s="78">
        <v>14</v>
      </c>
      <c r="C78" s="95">
        <v>0.72916666666666663</v>
      </c>
      <c r="D78" t="s">
        <v>6</v>
      </c>
      <c r="E78">
        <v>1</v>
      </c>
      <c r="F78" t="s">
        <v>209</v>
      </c>
      <c r="G78" t="s">
        <v>210</v>
      </c>
      <c r="H78"/>
      <c r="I78"/>
      <c r="J78" t="s">
        <v>7</v>
      </c>
      <c r="K78" t="s">
        <v>8</v>
      </c>
      <c r="L78"/>
      <c r="M78" s="48">
        <v>45336</v>
      </c>
      <c r="N78">
        <v>2</v>
      </c>
      <c r="O78" t="s">
        <v>254</v>
      </c>
      <c r="P78">
        <v>241</v>
      </c>
      <c r="Q78">
        <v>137</v>
      </c>
      <c r="R78"/>
      <c r="S78"/>
      <c r="T78" t="s">
        <v>289</v>
      </c>
      <c r="U78">
        <v>-2</v>
      </c>
    </row>
    <row r="79" spans="1:21" ht="15" customHeight="1" x14ac:dyDescent="0.25">
      <c r="A79" s="78">
        <v>49</v>
      </c>
      <c r="B79" s="78">
        <v>15</v>
      </c>
      <c r="C79" s="95">
        <v>0.41666666666666669</v>
      </c>
      <c r="D79" t="s">
        <v>72</v>
      </c>
      <c r="E79">
        <v>1</v>
      </c>
      <c r="F79" t="s">
        <v>163</v>
      </c>
      <c r="G79"/>
      <c r="H79"/>
      <c r="I79"/>
      <c r="J79" s="72" t="s">
        <v>15</v>
      </c>
      <c r="K79" t="s">
        <v>8</v>
      </c>
      <c r="L79"/>
      <c r="M79" s="48">
        <v>45337</v>
      </c>
      <c r="N79">
        <v>1</v>
      </c>
      <c r="O79"/>
      <c r="P79">
        <v>38</v>
      </c>
      <c r="Q79"/>
      <c r="R79"/>
      <c r="S79"/>
      <c r="T79" t="s">
        <v>289</v>
      </c>
      <c r="U79">
        <v>-1</v>
      </c>
    </row>
    <row r="80" spans="1:21" ht="15" customHeight="1" x14ac:dyDescent="0.25">
      <c r="A80" s="78">
        <v>50</v>
      </c>
      <c r="B80" s="78">
        <v>15</v>
      </c>
      <c r="C80" s="95">
        <v>0.45833333333333331</v>
      </c>
      <c r="D80" t="s">
        <v>69</v>
      </c>
      <c r="E80">
        <v>1</v>
      </c>
      <c r="F80"/>
      <c r="G80"/>
      <c r="H80"/>
      <c r="I80"/>
      <c r="J80" s="76" t="s">
        <v>65</v>
      </c>
      <c r="K80" t="s">
        <v>8</v>
      </c>
      <c r="L80" t="s">
        <v>223</v>
      </c>
      <c r="M80" s="48">
        <v>45337</v>
      </c>
      <c r="N80" s="76">
        <v>0</v>
      </c>
      <c r="O80"/>
      <c r="P80"/>
      <c r="Q80"/>
      <c r="R80"/>
      <c r="S80"/>
      <c r="T80" t="s">
        <v>289</v>
      </c>
      <c r="U80">
        <v>-1</v>
      </c>
    </row>
    <row r="81" spans="1:21" ht="15" customHeight="1" x14ac:dyDescent="0.25">
      <c r="A81" s="78">
        <v>51</v>
      </c>
      <c r="B81" s="78">
        <v>15</v>
      </c>
      <c r="C81" s="95">
        <v>0.52083333333333337</v>
      </c>
      <c r="D81" t="s">
        <v>25</v>
      </c>
      <c r="E81">
        <v>1.5</v>
      </c>
      <c r="F81" t="s">
        <v>188</v>
      </c>
      <c r="G81" t="s">
        <v>189</v>
      </c>
      <c r="H81"/>
      <c r="I81"/>
      <c r="J81" s="72" t="s">
        <v>15</v>
      </c>
      <c r="K81" t="s">
        <v>8</v>
      </c>
      <c r="L81"/>
      <c r="M81" s="48">
        <v>45337</v>
      </c>
      <c r="N81">
        <v>2</v>
      </c>
      <c r="O81"/>
      <c r="P81">
        <v>189</v>
      </c>
      <c r="Q81">
        <v>127</v>
      </c>
      <c r="R81"/>
      <c r="S81"/>
      <c r="T81" t="s">
        <v>289</v>
      </c>
      <c r="U81">
        <v>-1</v>
      </c>
    </row>
    <row r="82" spans="1:21" ht="15" customHeight="1" x14ac:dyDescent="0.25">
      <c r="A82" s="78">
        <v>52</v>
      </c>
      <c r="B82" s="78">
        <v>15</v>
      </c>
      <c r="C82" s="95">
        <v>0.60416666666666663</v>
      </c>
      <c r="D82" t="s">
        <v>26</v>
      </c>
      <c r="E82">
        <v>1</v>
      </c>
      <c r="F82" t="s">
        <v>199</v>
      </c>
      <c r="G82" t="s">
        <v>200</v>
      </c>
      <c r="H82"/>
      <c r="I82"/>
      <c r="J82" s="72" t="s">
        <v>15</v>
      </c>
      <c r="K82" t="s">
        <v>8</v>
      </c>
      <c r="L82"/>
      <c r="M82" s="48">
        <v>45337</v>
      </c>
      <c r="N82">
        <v>2</v>
      </c>
      <c r="O82"/>
      <c r="P82">
        <v>55</v>
      </c>
      <c r="Q82">
        <v>239</v>
      </c>
      <c r="R82"/>
      <c r="S82"/>
      <c r="T82" t="s">
        <v>289</v>
      </c>
      <c r="U82">
        <v>-1</v>
      </c>
    </row>
    <row r="83" spans="1:21" ht="15" customHeight="1" x14ac:dyDescent="0.25">
      <c r="A83" s="78">
        <v>53</v>
      </c>
      <c r="B83" s="78">
        <v>15</v>
      </c>
      <c r="C83" s="95">
        <v>0.70833333333333337</v>
      </c>
      <c r="D83" t="s">
        <v>6</v>
      </c>
      <c r="E83">
        <v>1.5</v>
      </c>
      <c r="F83" t="s">
        <v>218</v>
      </c>
      <c r="G83" t="s">
        <v>154</v>
      </c>
      <c r="H83"/>
      <c r="I83"/>
      <c r="J83" t="s">
        <v>7</v>
      </c>
      <c r="K83" t="s">
        <v>8</v>
      </c>
      <c r="L83"/>
      <c r="M83" s="48">
        <v>45337</v>
      </c>
      <c r="N83">
        <v>2</v>
      </c>
      <c r="O83" t="s">
        <v>255</v>
      </c>
      <c r="P83">
        <v>19</v>
      </c>
      <c r="Q83">
        <v>154</v>
      </c>
      <c r="R83"/>
      <c r="S83"/>
      <c r="T83" t="s">
        <v>289</v>
      </c>
      <c r="U83">
        <v>-2</v>
      </c>
    </row>
    <row r="84" spans="1:21" ht="15" customHeight="1" x14ac:dyDescent="0.25">
      <c r="A84" s="78">
        <v>54</v>
      </c>
      <c r="B84" s="78">
        <v>16</v>
      </c>
      <c r="C84" s="95">
        <v>0.33333333333333331</v>
      </c>
      <c r="D84" t="s">
        <v>79</v>
      </c>
      <c r="E84">
        <v>1</v>
      </c>
      <c r="F84" t="s">
        <v>183</v>
      </c>
      <c r="G84"/>
      <c r="H84"/>
      <c r="I84"/>
      <c r="J84" s="72" t="s">
        <v>15</v>
      </c>
      <c r="K84" t="s">
        <v>8</v>
      </c>
      <c r="L84"/>
      <c r="M84" s="48">
        <v>45338</v>
      </c>
      <c r="N84">
        <v>1</v>
      </c>
      <c r="O84"/>
      <c r="P84">
        <v>121</v>
      </c>
      <c r="Q84"/>
      <c r="R84"/>
      <c r="S84"/>
      <c r="T84" t="s">
        <v>289</v>
      </c>
      <c r="U84">
        <v>-1</v>
      </c>
    </row>
    <row r="85" spans="1:21" ht="15" customHeight="1" x14ac:dyDescent="0.25">
      <c r="A85" s="78">
        <v>55</v>
      </c>
      <c r="B85" s="78">
        <v>16</v>
      </c>
      <c r="C85" s="95">
        <v>0.4375</v>
      </c>
      <c r="D85" t="s">
        <v>13</v>
      </c>
      <c r="E85">
        <v>1.5</v>
      </c>
      <c r="F85" t="s">
        <v>189</v>
      </c>
      <c r="G85" t="s">
        <v>188</v>
      </c>
      <c r="H85"/>
      <c r="I85"/>
      <c r="J85" s="72" t="s">
        <v>15</v>
      </c>
      <c r="K85" t="s">
        <v>8</v>
      </c>
      <c r="L85"/>
      <c r="M85" s="48">
        <v>45338</v>
      </c>
      <c r="N85">
        <v>2</v>
      </c>
      <c r="O85"/>
      <c r="P85">
        <v>127</v>
      </c>
      <c r="Q85">
        <v>189</v>
      </c>
      <c r="R85"/>
      <c r="S85"/>
      <c r="T85" t="s">
        <v>289</v>
      </c>
      <c r="U85">
        <v>-1</v>
      </c>
    </row>
    <row r="86" spans="1:21" ht="15" customHeight="1" x14ac:dyDescent="0.25">
      <c r="A86" s="78">
        <v>56</v>
      </c>
      <c r="B86" s="78">
        <v>16</v>
      </c>
      <c r="C86" s="95">
        <v>0.54166666666666663</v>
      </c>
      <c r="D86" t="s">
        <v>25</v>
      </c>
      <c r="E86">
        <v>1</v>
      </c>
      <c r="F86" t="s">
        <v>192</v>
      </c>
      <c r="G86"/>
      <c r="H86"/>
      <c r="I86"/>
      <c r="J86" s="72" t="s">
        <v>15</v>
      </c>
      <c r="K86" t="s">
        <v>8</v>
      </c>
      <c r="L86"/>
      <c r="M86" s="48">
        <v>45338</v>
      </c>
      <c r="N86">
        <v>1</v>
      </c>
      <c r="O86"/>
      <c r="P86">
        <v>122</v>
      </c>
      <c r="Q86"/>
      <c r="R86"/>
      <c r="S86"/>
      <c r="T86" t="s">
        <v>289</v>
      </c>
      <c r="U86">
        <v>-1</v>
      </c>
    </row>
    <row r="87" spans="1:21" ht="15" customHeight="1" x14ac:dyDescent="0.25">
      <c r="A87" s="78">
        <v>57</v>
      </c>
      <c r="B87" s="78">
        <v>19</v>
      </c>
      <c r="C87" s="95">
        <v>0.33333333333333331</v>
      </c>
      <c r="D87" t="s">
        <v>79</v>
      </c>
      <c r="E87">
        <v>1</v>
      </c>
      <c r="F87" t="s">
        <v>183</v>
      </c>
      <c r="G87"/>
      <c r="H87"/>
      <c r="I87"/>
      <c r="J87" s="72" t="s">
        <v>15</v>
      </c>
      <c r="K87" t="s">
        <v>8</v>
      </c>
      <c r="L87"/>
      <c r="M87" s="48">
        <v>45341</v>
      </c>
      <c r="N87">
        <v>1</v>
      </c>
      <c r="O87"/>
      <c r="P87">
        <v>121</v>
      </c>
      <c r="Q87"/>
      <c r="R87"/>
      <c r="S87"/>
      <c r="T87" t="s">
        <v>289</v>
      </c>
      <c r="U87">
        <v>-1</v>
      </c>
    </row>
    <row r="88" spans="1:21" ht="15" customHeight="1" x14ac:dyDescent="0.25">
      <c r="A88" s="78">
        <v>58</v>
      </c>
      <c r="B88" s="78">
        <v>19</v>
      </c>
      <c r="C88" s="95">
        <v>0.375</v>
      </c>
      <c r="D88" t="s">
        <v>85</v>
      </c>
      <c r="E88">
        <v>1</v>
      </c>
      <c r="F88" t="s">
        <v>150</v>
      </c>
      <c r="G88" t="s">
        <v>149</v>
      </c>
      <c r="H88"/>
      <c r="I88"/>
      <c r="J88" s="72" t="s">
        <v>15</v>
      </c>
      <c r="K88" t="s">
        <v>8</v>
      </c>
      <c r="L88"/>
      <c r="M88" s="48">
        <v>45341</v>
      </c>
      <c r="N88">
        <v>2</v>
      </c>
      <c r="O88"/>
      <c r="P88">
        <v>125</v>
      </c>
      <c r="Q88">
        <v>118</v>
      </c>
      <c r="R88"/>
      <c r="S88"/>
      <c r="T88" t="s">
        <v>289</v>
      </c>
      <c r="U88">
        <v>-1</v>
      </c>
    </row>
    <row r="89" spans="1:21" ht="15" customHeight="1" x14ac:dyDescent="0.25">
      <c r="A89" s="78">
        <v>59</v>
      </c>
      <c r="B89" s="78">
        <v>19</v>
      </c>
      <c r="C89" s="95">
        <v>0.41666666666666669</v>
      </c>
      <c r="D89" t="s">
        <v>93</v>
      </c>
      <c r="E89">
        <v>1.5</v>
      </c>
      <c r="F89"/>
      <c r="G89"/>
      <c r="H89"/>
      <c r="I89"/>
      <c r="J89" s="76" t="s">
        <v>65</v>
      </c>
      <c r="K89" t="s">
        <v>8</v>
      </c>
      <c r="L89" t="s">
        <v>231</v>
      </c>
      <c r="M89" s="48">
        <v>45341</v>
      </c>
      <c r="N89" s="76">
        <v>0</v>
      </c>
      <c r="O89"/>
      <c r="P89"/>
      <c r="Q89"/>
      <c r="R89"/>
      <c r="S89"/>
      <c r="T89" t="s">
        <v>289</v>
      </c>
      <c r="U89">
        <v>-1</v>
      </c>
    </row>
    <row r="90" spans="1:21" ht="15" customHeight="1" x14ac:dyDescent="0.25">
      <c r="A90" s="78">
        <v>60</v>
      </c>
      <c r="B90" s="78">
        <v>19</v>
      </c>
      <c r="C90" s="95">
        <v>0.52083333333333337</v>
      </c>
      <c r="D90" t="s">
        <v>14</v>
      </c>
      <c r="E90">
        <v>1</v>
      </c>
      <c r="F90" t="s">
        <v>220</v>
      </c>
      <c r="G90"/>
      <c r="H90"/>
      <c r="I90"/>
      <c r="J90" s="72" t="s">
        <v>15</v>
      </c>
      <c r="K90" t="s">
        <v>8</v>
      </c>
      <c r="L90"/>
      <c r="M90" s="48">
        <v>45341</v>
      </c>
      <c r="N90">
        <v>1</v>
      </c>
      <c r="O90"/>
      <c r="P90">
        <v>9</v>
      </c>
      <c r="Q90"/>
      <c r="R90"/>
      <c r="S90"/>
      <c r="T90" t="s">
        <v>289</v>
      </c>
      <c r="U90">
        <v>-1</v>
      </c>
    </row>
    <row r="91" spans="1:21" ht="15" customHeight="1" x14ac:dyDescent="0.25">
      <c r="A91" s="78">
        <v>61</v>
      </c>
      <c r="B91" s="78">
        <v>19</v>
      </c>
      <c r="C91" s="95">
        <v>0.60416666666666663</v>
      </c>
      <c r="D91" t="s">
        <v>26</v>
      </c>
      <c r="E91">
        <v>1</v>
      </c>
      <c r="F91" t="s">
        <v>199</v>
      </c>
      <c r="G91" t="s">
        <v>200</v>
      </c>
      <c r="H91"/>
      <c r="I91"/>
      <c r="J91" s="72" t="s">
        <v>15</v>
      </c>
      <c r="K91" t="s">
        <v>8</v>
      </c>
      <c r="L91"/>
      <c r="M91" s="48">
        <v>45341</v>
      </c>
      <c r="N91">
        <v>2</v>
      </c>
      <c r="O91"/>
      <c r="P91">
        <v>55</v>
      </c>
      <c r="Q91">
        <v>239</v>
      </c>
      <c r="R91"/>
      <c r="S91"/>
      <c r="T91" t="s">
        <v>289</v>
      </c>
      <c r="U91">
        <v>-1</v>
      </c>
    </row>
    <row r="92" spans="1:21" ht="15" customHeight="1" x14ac:dyDescent="0.25">
      <c r="A92" s="78">
        <v>62</v>
      </c>
      <c r="B92" s="78">
        <v>19</v>
      </c>
      <c r="C92" s="95">
        <v>0.70833333333333337</v>
      </c>
      <c r="D92" t="s">
        <v>6</v>
      </c>
      <c r="E92">
        <v>1.5</v>
      </c>
      <c r="F92" t="s">
        <v>207</v>
      </c>
      <c r="G92"/>
      <c r="H92"/>
      <c r="I92"/>
      <c r="J92" s="72" t="s">
        <v>15</v>
      </c>
      <c r="K92" t="s">
        <v>8</v>
      </c>
      <c r="L92"/>
      <c r="M92" s="48">
        <v>45341</v>
      </c>
      <c r="N92">
        <v>1</v>
      </c>
      <c r="O92"/>
      <c r="P92">
        <v>190</v>
      </c>
      <c r="Q92"/>
      <c r="R92"/>
      <c r="S92"/>
      <c r="T92" t="s">
        <v>289</v>
      </c>
      <c r="U92">
        <v>-1</v>
      </c>
    </row>
    <row r="93" spans="1:21" ht="15" customHeight="1" x14ac:dyDescent="0.25">
      <c r="A93" s="78">
        <v>63</v>
      </c>
      <c r="B93" s="78">
        <v>19</v>
      </c>
      <c r="C93" s="95">
        <v>0.83333333333333337</v>
      </c>
      <c r="D93" t="s">
        <v>17</v>
      </c>
      <c r="E93">
        <v>3</v>
      </c>
      <c r="F93"/>
      <c r="G93"/>
      <c r="H93"/>
      <c r="I93"/>
      <c r="J93" t="s">
        <v>18</v>
      </c>
      <c r="K93" t="s">
        <v>8</v>
      </c>
      <c r="L93" t="s">
        <v>223</v>
      </c>
      <c r="M93" s="48">
        <v>45341</v>
      </c>
      <c r="N93">
        <v>0</v>
      </c>
      <c r="O93" t="s">
        <v>256</v>
      </c>
      <c r="P93"/>
      <c r="Q93"/>
      <c r="R93"/>
      <c r="S93"/>
      <c r="T93" t="s">
        <v>289</v>
      </c>
      <c r="U93"/>
    </row>
    <row r="94" spans="1:21" ht="15" customHeight="1" x14ac:dyDescent="0.25">
      <c r="A94" s="78">
        <v>64</v>
      </c>
      <c r="B94" s="78">
        <v>20</v>
      </c>
      <c r="C94" s="95">
        <v>0.4375</v>
      </c>
      <c r="D94" t="s">
        <v>93</v>
      </c>
      <c r="E94">
        <v>1</v>
      </c>
      <c r="F94" t="s">
        <v>160</v>
      </c>
      <c r="G94" t="s">
        <v>162</v>
      </c>
      <c r="H94" t="s">
        <v>161</v>
      </c>
      <c r="I94"/>
      <c r="J94" s="72" t="s">
        <v>15</v>
      </c>
      <c r="K94" t="s">
        <v>8</v>
      </c>
      <c r="L94"/>
      <c r="M94" s="48">
        <v>45342</v>
      </c>
      <c r="N94">
        <v>3</v>
      </c>
      <c r="O94"/>
      <c r="P94">
        <v>47</v>
      </c>
      <c r="Q94">
        <v>195</v>
      </c>
      <c r="R94">
        <v>201</v>
      </c>
      <c r="S94"/>
      <c r="T94" t="s">
        <v>289</v>
      </c>
      <c r="U94">
        <v>-1</v>
      </c>
    </row>
    <row r="95" spans="1:21" ht="15" customHeight="1" x14ac:dyDescent="0.25">
      <c r="A95" s="78">
        <v>65</v>
      </c>
      <c r="B95" s="78">
        <v>20</v>
      </c>
      <c r="C95" s="95">
        <v>0.83333333333333337</v>
      </c>
      <c r="D95" t="s">
        <v>68</v>
      </c>
      <c r="E95">
        <v>1.5</v>
      </c>
      <c r="F95"/>
      <c r="G95"/>
      <c r="H95"/>
      <c r="I95"/>
      <c r="J95" s="76" t="s">
        <v>65</v>
      </c>
      <c r="K95" t="s">
        <v>8</v>
      </c>
      <c r="L95" t="s">
        <v>232</v>
      </c>
      <c r="M95" s="48">
        <v>45342</v>
      </c>
      <c r="N95" s="76">
        <v>0</v>
      </c>
      <c r="O95"/>
      <c r="P95"/>
      <c r="Q95"/>
      <c r="R95"/>
      <c r="S95"/>
      <c r="T95" t="s">
        <v>289</v>
      </c>
      <c r="U95">
        <v>-1</v>
      </c>
    </row>
    <row r="96" spans="1:21" ht="15" customHeight="1" x14ac:dyDescent="0.25">
      <c r="A96" s="78">
        <v>66</v>
      </c>
      <c r="B96" s="78">
        <v>21</v>
      </c>
      <c r="C96" s="95">
        <v>0.375</v>
      </c>
      <c r="D96" t="s">
        <v>85</v>
      </c>
      <c r="E96">
        <v>1</v>
      </c>
      <c r="F96" t="s">
        <v>145</v>
      </c>
      <c r="G96"/>
      <c r="H96"/>
      <c r="I96"/>
      <c r="J96" s="72" t="s">
        <v>15</v>
      </c>
      <c r="K96" t="s">
        <v>8</v>
      </c>
      <c r="L96"/>
      <c r="M96" s="48">
        <v>45343</v>
      </c>
      <c r="N96">
        <v>1</v>
      </c>
      <c r="O96"/>
      <c r="P96">
        <v>163</v>
      </c>
      <c r="Q96"/>
      <c r="R96"/>
      <c r="S96"/>
      <c r="T96" t="s">
        <v>289</v>
      </c>
      <c r="U96">
        <v>-1</v>
      </c>
    </row>
    <row r="97" spans="1:21" ht="15" customHeight="1" x14ac:dyDescent="0.25">
      <c r="A97" s="78">
        <v>67</v>
      </c>
      <c r="B97" s="78">
        <v>21</v>
      </c>
      <c r="C97" s="95">
        <v>0.41666666666666669</v>
      </c>
      <c r="D97" t="s">
        <v>72</v>
      </c>
      <c r="E97">
        <v>1</v>
      </c>
      <c r="F97" t="s">
        <v>170</v>
      </c>
      <c r="G97" t="s">
        <v>171</v>
      </c>
      <c r="H97"/>
      <c r="I97"/>
      <c r="J97" s="72" t="s">
        <v>15</v>
      </c>
      <c r="K97" t="s">
        <v>8</v>
      </c>
      <c r="L97"/>
      <c r="M97" s="48">
        <v>45343</v>
      </c>
      <c r="N97">
        <v>2</v>
      </c>
      <c r="O97"/>
      <c r="P97">
        <v>209</v>
      </c>
      <c r="Q97">
        <v>167</v>
      </c>
      <c r="R97"/>
      <c r="S97"/>
      <c r="T97" t="s">
        <v>289</v>
      </c>
      <c r="U97">
        <v>-1</v>
      </c>
    </row>
    <row r="98" spans="1:21" ht="15" customHeight="1" x14ac:dyDescent="0.25">
      <c r="A98" s="79">
        <v>68</v>
      </c>
      <c r="B98" s="79">
        <v>21</v>
      </c>
      <c r="C98" s="95">
        <v>0.5</v>
      </c>
      <c r="D98" t="s">
        <v>14</v>
      </c>
      <c r="E98">
        <v>1.5</v>
      </c>
      <c r="F98" s="76" t="s">
        <v>279</v>
      </c>
      <c r="G98"/>
      <c r="H98"/>
      <c r="I98"/>
      <c r="J98" s="76" t="s">
        <v>277</v>
      </c>
      <c r="K98" t="s">
        <v>8</v>
      </c>
      <c r="L98" t="s">
        <v>223</v>
      </c>
      <c r="M98"/>
      <c r="N98">
        <v>1</v>
      </c>
      <c r="O98"/>
      <c r="P98"/>
      <c r="Q98"/>
      <c r="R98"/>
      <c r="S98"/>
      <c r="T98" t="s">
        <v>289</v>
      </c>
      <c r="U98">
        <v>-1</v>
      </c>
    </row>
    <row r="99" spans="1:21" ht="15" customHeight="1" x14ac:dyDescent="0.25">
      <c r="A99" s="78">
        <v>69</v>
      </c>
      <c r="B99" s="78">
        <v>21</v>
      </c>
      <c r="C99" s="95">
        <v>0.58333333333333337</v>
      </c>
      <c r="D99" t="s">
        <v>19</v>
      </c>
      <c r="E99">
        <v>1</v>
      </c>
      <c r="F99" t="s">
        <v>180</v>
      </c>
      <c r="G99" t="s">
        <v>179</v>
      </c>
      <c r="H99"/>
      <c r="I99"/>
      <c r="J99" s="72" t="s">
        <v>15</v>
      </c>
      <c r="K99" t="s">
        <v>8</v>
      </c>
      <c r="L99"/>
      <c r="M99" s="48">
        <v>45343</v>
      </c>
      <c r="N99">
        <v>2</v>
      </c>
      <c r="O99"/>
      <c r="P99">
        <v>53</v>
      </c>
      <c r="Q99">
        <v>132</v>
      </c>
      <c r="R99"/>
      <c r="S99"/>
      <c r="T99" t="s">
        <v>289</v>
      </c>
      <c r="U99">
        <v>-1</v>
      </c>
    </row>
    <row r="100" spans="1:21" ht="15" customHeight="1" x14ac:dyDescent="0.25">
      <c r="A100" s="78">
        <v>70</v>
      </c>
      <c r="B100" s="78">
        <v>21</v>
      </c>
      <c r="C100" s="95">
        <v>0.64583333333333337</v>
      </c>
      <c r="D100" t="s">
        <v>10</v>
      </c>
      <c r="E100">
        <v>1.5</v>
      </c>
      <c r="F100" t="s">
        <v>189</v>
      </c>
      <c r="G100" t="s">
        <v>188</v>
      </c>
      <c r="H100"/>
      <c r="I100"/>
      <c r="J100" s="72" t="s">
        <v>15</v>
      </c>
      <c r="K100" t="s">
        <v>8</v>
      </c>
      <c r="L100"/>
      <c r="M100" s="48">
        <v>45343</v>
      </c>
      <c r="N100">
        <v>2</v>
      </c>
      <c r="O100"/>
      <c r="P100">
        <v>127</v>
      </c>
      <c r="Q100">
        <v>189</v>
      </c>
      <c r="R100"/>
      <c r="S100"/>
      <c r="T100" t="s">
        <v>289</v>
      </c>
      <c r="U100">
        <v>-1</v>
      </c>
    </row>
    <row r="101" spans="1:21" ht="15" customHeight="1" x14ac:dyDescent="0.25">
      <c r="A101" s="78">
        <v>71</v>
      </c>
      <c r="B101" s="78">
        <v>21</v>
      </c>
      <c r="C101" s="95">
        <v>0.72916666666666663</v>
      </c>
      <c r="D101" t="s">
        <v>6</v>
      </c>
      <c r="E101">
        <v>1</v>
      </c>
      <c r="F101" t="s">
        <v>209</v>
      </c>
      <c r="G101" t="s">
        <v>210</v>
      </c>
      <c r="H101"/>
      <c r="I101"/>
      <c r="J101" t="s">
        <v>7</v>
      </c>
      <c r="K101" t="s">
        <v>8</v>
      </c>
      <c r="L101"/>
      <c r="M101" s="48">
        <v>45343</v>
      </c>
      <c r="N101">
        <v>2</v>
      </c>
      <c r="O101" t="s">
        <v>254</v>
      </c>
      <c r="P101">
        <v>241</v>
      </c>
      <c r="Q101">
        <v>137</v>
      </c>
      <c r="R101"/>
      <c r="S101"/>
      <c r="T101" t="s">
        <v>289</v>
      </c>
      <c r="U101">
        <v>-2</v>
      </c>
    </row>
    <row r="102" spans="1:21" ht="15" customHeight="1" x14ac:dyDescent="0.25">
      <c r="A102" s="78">
        <v>72</v>
      </c>
      <c r="B102" s="78">
        <v>22</v>
      </c>
      <c r="C102" s="95">
        <v>0.41666666666666669</v>
      </c>
      <c r="D102" t="s">
        <v>72</v>
      </c>
      <c r="E102">
        <v>1</v>
      </c>
      <c r="F102" t="s">
        <v>163</v>
      </c>
      <c r="G102"/>
      <c r="H102"/>
      <c r="I102"/>
      <c r="J102" t="s">
        <v>283</v>
      </c>
      <c r="K102" t="s">
        <v>8</v>
      </c>
      <c r="L102"/>
      <c r="M102" s="48">
        <v>45344</v>
      </c>
      <c r="N102">
        <v>1</v>
      </c>
      <c r="O102" t="s">
        <v>284</v>
      </c>
      <c r="P102">
        <v>38</v>
      </c>
      <c r="Q102"/>
      <c r="R102"/>
      <c r="S102"/>
      <c r="T102" t="s">
        <v>289</v>
      </c>
      <c r="U102">
        <v>-2</v>
      </c>
    </row>
    <row r="103" spans="1:21" ht="15" customHeight="1" x14ac:dyDescent="0.25">
      <c r="A103" s="78">
        <v>73</v>
      </c>
      <c r="B103" s="78">
        <v>22</v>
      </c>
      <c r="C103" s="95">
        <v>0.45833333333333331</v>
      </c>
      <c r="D103" t="s">
        <v>69</v>
      </c>
      <c r="E103">
        <v>1.5</v>
      </c>
      <c r="F103"/>
      <c r="G103"/>
      <c r="H103"/>
      <c r="I103"/>
      <c r="J103" s="76" t="s">
        <v>65</v>
      </c>
      <c r="K103" t="s">
        <v>8</v>
      </c>
      <c r="L103"/>
      <c r="M103" s="48">
        <v>45344</v>
      </c>
      <c r="N103" s="76">
        <v>0</v>
      </c>
      <c r="O103"/>
      <c r="P103"/>
      <c r="Q103"/>
      <c r="R103"/>
      <c r="S103"/>
      <c r="T103" t="s">
        <v>289</v>
      </c>
      <c r="U103">
        <v>-1</v>
      </c>
    </row>
    <row r="104" spans="1:21" ht="15" customHeight="1" x14ac:dyDescent="0.25">
      <c r="A104" s="78">
        <v>74</v>
      </c>
      <c r="B104" s="78">
        <v>22</v>
      </c>
      <c r="C104" s="95">
        <v>0.54166666666666663</v>
      </c>
      <c r="D104" t="s">
        <v>66</v>
      </c>
      <c r="E104">
        <v>1.5</v>
      </c>
      <c r="F104" t="s">
        <v>189</v>
      </c>
      <c r="G104" t="s">
        <v>188</v>
      </c>
      <c r="H104"/>
      <c r="I104"/>
      <c r="J104" s="72" t="s">
        <v>15</v>
      </c>
      <c r="K104" t="s">
        <v>8</v>
      </c>
      <c r="L104"/>
      <c r="M104" s="48">
        <v>45344</v>
      </c>
      <c r="N104">
        <v>2</v>
      </c>
      <c r="O104"/>
      <c r="P104">
        <v>127</v>
      </c>
      <c r="Q104">
        <v>189</v>
      </c>
      <c r="R104"/>
      <c r="S104"/>
      <c r="T104" t="s">
        <v>289</v>
      </c>
      <c r="U104">
        <v>-1</v>
      </c>
    </row>
    <row r="105" spans="1:21" ht="15" customHeight="1" x14ac:dyDescent="0.25">
      <c r="A105" s="78">
        <v>75</v>
      </c>
      <c r="B105" s="78">
        <v>22</v>
      </c>
      <c r="C105" s="95">
        <v>0.60416666666666663</v>
      </c>
      <c r="D105" t="s">
        <v>26</v>
      </c>
      <c r="E105">
        <v>1</v>
      </c>
      <c r="F105" t="s">
        <v>204</v>
      </c>
      <c r="G105"/>
      <c r="H105"/>
      <c r="I105"/>
      <c r="J105" s="72" t="s">
        <v>15</v>
      </c>
      <c r="K105" t="s">
        <v>8</v>
      </c>
      <c r="L105"/>
      <c r="M105" s="48">
        <v>45344</v>
      </c>
      <c r="N105">
        <v>1</v>
      </c>
      <c r="O105"/>
      <c r="P105">
        <v>120</v>
      </c>
      <c r="Q105"/>
      <c r="R105"/>
      <c r="S105"/>
      <c r="T105" t="s">
        <v>289</v>
      </c>
      <c r="U105">
        <v>-1</v>
      </c>
    </row>
    <row r="106" spans="1:21" ht="15" customHeight="1" x14ac:dyDescent="0.25">
      <c r="A106" s="78">
        <v>76</v>
      </c>
      <c r="B106" s="78">
        <v>22</v>
      </c>
      <c r="C106" s="95">
        <v>0.64583333333333337</v>
      </c>
      <c r="D106" t="s">
        <v>70</v>
      </c>
      <c r="E106">
        <v>1</v>
      </c>
      <c r="F106" t="s">
        <v>166</v>
      </c>
      <c r="G106"/>
      <c r="H106"/>
      <c r="I106"/>
      <c r="J106" s="72" t="s">
        <v>15</v>
      </c>
      <c r="K106" t="s">
        <v>8</v>
      </c>
      <c r="L106"/>
      <c r="M106" s="48">
        <v>45344</v>
      </c>
      <c r="N106">
        <v>1</v>
      </c>
      <c r="O106"/>
      <c r="P106">
        <v>185</v>
      </c>
      <c r="Q106"/>
      <c r="R106"/>
      <c r="S106"/>
      <c r="T106" t="s">
        <v>289</v>
      </c>
      <c r="U106">
        <v>-1</v>
      </c>
    </row>
    <row r="107" spans="1:21" ht="15" customHeight="1" x14ac:dyDescent="0.25">
      <c r="A107" s="78">
        <v>77</v>
      </c>
      <c r="B107" s="78">
        <v>23</v>
      </c>
      <c r="C107" s="95">
        <v>0.47916666666666669</v>
      </c>
      <c r="D107" t="s">
        <v>69</v>
      </c>
      <c r="E107">
        <v>1</v>
      </c>
      <c r="F107" t="s">
        <v>192</v>
      </c>
      <c r="G107"/>
      <c r="H107"/>
      <c r="I107"/>
      <c r="J107" s="72" t="s">
        <v>15</v>
      </c>
      <c r="K107" t="s">
        <v>8</v>
      </c>
      <c r="L107"/>
      <c r="M107" s="48">
        <v>45345</v>
      </c>
      <c r="N107">
        <v>1</v>
      </c>
      <c r="O107"/>
      <c r="P107">
        <v>122</v>
      </c>
      <c r="Q107"/>
      <c r="R107"/>
      <c r="S107"/>
      <c r="T107" t="s">
        <v>289</v>
      </c>
      <c r="U107">
        <v>-1</v>
      </c>
    </row>
    <row r="108" spans="1:21" ht="15" customHeight="1" x14ac:dyDescent="0.25">
      <c r="A108" s="78">
        <v>78</v>
      </c>
      <c r="B108" s="78">
        <v>23</v>
      </c>
      <c r="C108" s="95">
        <v>0.66666666666666663</v>
      </c>
      <c r="D108" t="s">
        <v>10</v>
      </c>
      <c r="E108">
        <v>1</v>
      </c>
      <c r="F108" t="s">
        <v>233</v>
      </c>
      <c r="G108" t="s">
        <v>234</v>
      </c>
      <c r="H108"/>
      <c r="I108"/>
      <c r="J108" s="72" t="s">
        <v>15</v>
      </c>
      <c r="K108" t="s">
        <v>8</v>
      </c>
      <c r="L108" t="s">
        <v>235</v>
      </c>
      <c r="M108" s="48">
        <v>45345</v>
      </c>
      <c r="N108">
        <v>2</v>
      </c>
      <c r="O108"/>
      <c r="P108">
        <v>2</v>
      </c>
      <c r="Q108">
        <v>3</v>
      </c>
      <c r="R108"/>
      <c r="S108"/>
      <c r="T108" t="s">
        <v>289</v>
      </c>
      <c r="U108">
        <v>-1</v>
      </c>
    </row>
    <row r="109" spans="1:21" ht="15" customHeight="1" x14ac:dyDescent="0.25">
      <c r="A109" s="78">
        <v>79</v>
      </c>
      <c r="B109" s="78">
        <v>23</v>
      </c>
      <c r="C109" s="95">
        <v>0.70833333333333337</v>
      </c>
      <c r="D109" t="s">
        <v>20</v>
      </c>
      <c r="E109">
        <v>1</v>
      </c>
      <c r="F109" t="s">
        <v>154</v>
      </c>
      <c r="G109"/>
      <c r="H109"/>
      <c r="I109"/>
      <c r="J109" t="s">
        <v>21</v>
      </c>
      <c r="K109" t="s">
        <v>8</v>
      </c>
      <c r="L109"/>
      <c r="M109" s="48">
        <v>45345</v>
      </c>
      <c r="N109">
        <v>1</v>
      </c>
      <c r="O109" t="s">
        <v>253</v>
      </c>
      <c r="P109">
        <v>154</v>
      </c>
      <c r="Q109"/>
      <c r="R109"/>
      <c r="S109"/>
      <c r="T109" t="s">
        <v>289</v>
      </c>
      <c r="U109">
        <v>-2</v>
      </c>
    </row>
    <row r="110" spans="1:21" ht="15" customHeight="1" x14ac:dyDescent="0.25">
      <c r="A110" s="78">
        <v>80</v>
      </c>
      <c r="B110" s="78">
        <v>23</v>
      </c>
      <c r="C110" s="95">
        <v>0.75</v>
      </c>
      <c r="D110" t="s">
        <v>11</v>
      </c>
      <c r="E110">
        <v>1</v>
      </c>
      <c r="F110"/>
      <c r="G110"/>
      <c r="H110"/>
      <c r="I110"/>
      <c r="J110" s="76" t="s">
        <v>65</v>
      </c>
      <c r="K110" t="s">
        <v>8</v>
      </c>
      <c r="L110" t="s">
        <v>236</v>
      </c>
      <c r="M110" s="48">
        <v>45345</v>
      </c>
      <c r="N110" s="76">
        <v>0</v>
      </c>
      <c r="O110"/>
      <c r="P110"/>
      <c r="Q110"/>
      <c r="R110"/>
      <c r="S110"/>
      <c r="T110" t="s">
        <v>289</v>
      </c>
      <c r="U110">
        <v>-1</v>
      </c>
    </row>
    <row r="111" spans="1:21" ht="15" customHeight="1" x14ac:dyDescent="0.25">
      <c r="A111" s="78">
        <v>81</v>
      </c>
      <c r="B111" s="78">
        <v>25</v>
      </c>
      <c r="C111" s="95">
        <v>0.54166666666666663</v>
      </c>
      <c r="D111" t="s">
        <v>9</v>
      </c>
      <c r="E111">
        <v>3</v>
      </c>
      <c r="F111"/>
      <c r="G111"/>
      <c r="H111"/>
      <c r="I111"/>
      <c r="J111" t="s">
        <v>18</v>
      </c>
      <c r="K111" t="s">
        <v>8</v>
      </c>
      <c r="L111" t="s">
        <v>205</v>
      </c>
      <c r="M111" s="48">
        <v>45347</v>
      </c>
      <c r="N111">
        <v>0</v>
      </c>
      <c r="O111" t="s">
        <v>256</v>
      </c>
      <c r="P111"/>
      <c r="Q111"/>
      <c r="R111"/>
      <c r="S111"/>
      <c r="T111" t="s">
        <v>289</v>
      </c>
      <c r="U111"/>
    </row>
    <row r="112" spans="1:21" ht="15" customHeight="1" x14ac:dyDescent="0.25">
      <c r="A112" s="78">
        <v>82</v>
      </c>
      <c r="B112" s="78">
        <v>26</v>
      </c>
      <c r="C112" s="95">
        <v>0.33333333333333331</v>
      </c>
      <c r="D112" t="s">
        <v>79</v>
      </c>
      <c r="E112">
        <v>1</v>
      </c>
      <c r="F112" t="s">
        <v>183</v>
      </c>
      <c r="G112"/>
      <c r="H112"/>
      <c r="I112"/>
      <c r="J112" s="72" t="s">
        <v>15</v>
      </c>
      <c r="K112" t="s">
        <v>8</v>
      </c>
      <c r="L112"/>
      <c r="M112" s="48">
        <v>45348</v>
      </c>
      <c r="N112">
        <v>1</v>
      </c>
      <c r="O112"/>
      <c r="P112">
        <v>121</v>
      </c>
      <c r="Q112"/>
      <c r="R112"/>
      <c r="S112"/>
      <c r="T112" t="s">
        <v>289</v>
      </c>
      <c r="U112">
        <v>-1</v>
      </c>
    </row>
    <row r="113" spans="1:21" ht="15" customHeight="1" x14ac:dyDescent="0.25">
      <c r="A113" s="78">
        <v>83</v>
      </c>
      <c r="B113" s="78">
        <v>26</v>
      </c>
      <c r="C113" s="95">
        <v>0.375</v>
      </c>
      <c r="D113" t="s">
        <v>85</v>
      </c>
      <c r="E113">
        <v>1</v>
      </c>
      <c r="F113" t="s">
        <v>149</v>
      </c>
      <c r="G113" t="s">
        <v>150</v>
      </c>
      <c r="H113"/>
      <c r="I113"/>
      <c r="J113" s="72" t="s">
        <v>15</v>
      </c>
      <c r="K113" t="s">
        <v>8</v>
      </c>
      <c r="L113"/>
      <c r="M113" s="48">
        <v>45348</v>
      </c>
      <c r="N113">
        <v>2</v>
      </c>
      <c r="O113"/>
      <c r="P113">
        <v>118</v>
      </c>
      <c r="Q113">
        <v>125</v>
      </c>
      <c r="R113"/>
      <c r="S113"/>
      <c r="T113" t="s">
        <v>289</v>
      </c>
      <c r="U113">
        <v>-1</v>
      </c>
    </row>
    <row r="114" spans="1:21" ht="15" customHeight="1" x14ac:dyDescent="0.25">
      <c r="A114" s="78">
        <v>84</v>
      </c>
      <c r="B114" s="78">
        <v>26</v>
      </c>
      <c r="C114" s="95">
        <v>0.41666666666666669</v>
      </c>
      <c r="D114" t="s">
        <v>93</v>
      </c>
      <c r="E114">
        <v>1.5</v>
      </c>
      <c r="F114"/>
      <c r="G114"/>
      <c r="H114"/>
      <c r="I114"/>
      <c r="J114" s="76" t="s">
        <v>65</v>
      </c>
      <c r="K114" t="s">
        <v>8</v>
      </c>
      <c r="L114" t="s">
        <v>231</v>
      </c>
      <c r="M114" s="48">
        <v>45348</v>
      </c>
      <c r="N114" s="76">
        <v>0</v>
      </c>
      <c r="O114"/>
      <c r="P114"/>
      <c r="Q114"/>
      <c r="R114"/>
      <c r="S114"/>
      <c r="T114" t="s">
        <v>289</v>
      </c>
      <c r="U114">
        <v>-1</v>
      </c>
    </row>
    <row r="115" spans="1:21" ht="15" customHeight="1" x14ac:dyDescent="0.25">
      <c r="A115" s="78">
        <v>85</v>
      </c>
      <c r="B115" s="78">
        <v>26</v>
      </c>
      <c r="C115" s="95">
        <v>0.47916666666666669</v>
      </c>
      <c r="D115" t="s">
        <v>69</v>
      </c>
      <c r="E115">
        <v>1</v>
      </c>
      <c r="F115" t="s">
        <v>159</v>
      </c>
      <c r="G115"/>
      <c r="H115"/>
      <c r="I115"/>
      <c r="J115" s="72" t="s">
        <v>15</v>
      </c>
      <c r="K115" t="s">
        <v>8</v>
      </c>
      <c r="L115" t="s">
        <v>237</v>
      </c>
      <c r="M115" s="48">
        <v>45348</v>
      </c>
      <c r="N115">
        <v>1</v>
      </c>
      <c r="O115"/>
      <c r="P115">
        <v>34</v>
      </c>
      <c r="Q115"/>
      <c r="R115"/>
      <c r="S115"/>
      <c r="T115" t="s">
        <v>289</v>
      </c>
      <c r="U115">
        <v>-1</v>
      </c>
    </row>
    <row r="116" spans="1:21" ht="15" customHeight="1" x14ac:dyDescent="0.25">
      <c r="A116" s="78">
        <v>86</v>
      </c>
      <c r="B116" s="78">
        <v>26</v>
      </c>
      <c r="C116" s="95">
        <v>0.52083333333333337</v>
      </c>
      <c r="D116" t="s">
        <v>14</v>
      </c>
      <c r="E116">
        <v>1</v>
      </c>
      <c r="F116" t="s">
        <v>184</v>
      </c>
      <c r="G116"/>
      <c r="H116"/>
      <c r="I116"/>
      <c r="J116" t="s">
        <v>21</v>
      </c>
      <c r="K116" t="s">
        <v>8</v>
      </c>
      <c r="L116"/>
      <c r="M116" s="48">
        <v>45348</v>
      </c>
      <c r="N116">
        <v>1</v>
      </c>
      <c r="O116" t="s">
        <v>253</v>
      </c>
      <c r="P116">
        <v>69</v>
      </c>
      <c r="Q116"/>
      <c r="R116"/>
      <c r="S116"/>
      <c r="T116" t="s">
        <v>289</v>
      </c>
      <c r="U116">
        <v>-2</v>
      </c>
    </row>
    <row r="117" spans="1:21" ht="15" customHeight="1" x14ac:dyDescent="0.25">
      <c r="A117" s="78">
        <v>87</v>
      </c>
      <c r="B117" s="78">
        <v>26</v>
      </c>
      <c r="C117" s="95">
        <v>0.60416666666666663</v>
      </c>
      <c r="D117" t="s">
        <v>26</v>
      </c>
      <c r="E117">
        <v>1</v>
      </c>
      <c r="F117" t="s">
        <v>199</v>
      </c>
      <c r="G117" t="s">
        <v>200</v>
      </c>
      <c r="H117"/>
      <c r="I117"/>
      <c r="J117" s="72" t="s">
        <v>15</v>
      </c>
      <c r="K117" t="s">
        <v>8</v>
      </c>
      <c r="L117"/>
      <c r="M117" s="48">
        <v>45348</v>
      </c>
      <c r="N117">
        <v>2</v>
      </c>
      <c r="O117"/>
      <c r="P117">
        <v>55</v>
      </c>
      <c r="Q117">
        <v>239</v>
      </c>
      <c r="R117"/>
      <c r="S117"/>
      <c r="T117" t="s">
        <v>289</v>
      </c>
      <c r="U117">
        <v>-1</v>
      </c>
    </row>
    <row r="118" spans="1:21" ht="15" customHeight="1" x14ac:dyDescent="0.25">
      <c r="A118" s="78">
        <v>88</v>
      </c>
      <c r="B118" s="78">
        <v>26</v>
      </c>
      <c r="C118" s="95">
        <v>0.66666666666666663</v>
      </c>
      <c r="D118" t="s">
        <v>10</v>
      </c>
      <c r="E118">
        <v>1</v>
      </c>
      <c r="F118" t="s">
        <v>198</v>
      </c>
      <c r="G118"/>
      <c r="H118"/>
      <c r="I118"/>
      <c r="J118" s="72" t="s">
        <v>15</v>
      </c>
      <c r="K118" t="s">
        <v>8</v>
      </c>
      <c r="L118"/>
      <c r="M118" s="48">
        <v>45348</v>
      </c>
      <c r="N118">
        <v>1</v>
      </c>
      <c r="O118"/>
      <c r="P118">
        <v>115</v>
      </c>
      <c r="Q118"/>
      <c r="R118"/>
      <c r="S118"/>
      <c r="T118" t="s">
        <v>289</v>
      </c>
      <c r="U118">
        <v>-1</v>
      </c>
    </row>
    <row r="119" spans="1:21" ht="15" customHeight="1" x14ac:dyDescent="0.25">
      <c r="A119" s="78">
        <v>89</v>
      </c>
      <c r="B119" s="78">
        <v>26</v>
      </c>
      <c r="C119" s="95">
        <v>0.70833333333333337</v>
      </c>
      <c r="D119" t="s">
        <v>6</v>
      </c>
      <c r="E119">
        <v>1.5</v>
      </c>
      <c r="F119" t="s">
        <v>208</v>
      </c>
      <c r="G119"/>
      <c r="H119"/>
      <c r="I119"/>
      <c r="J119" s="72" t="s">
        <v>15</v>
      </c>
      <c r="K119" t="s">
        <v>8</v>
      </c>
      <c r="L119"/>
      <c r="M119" s="48">
        <v>45348</v>
      </c>
      <c r="N119">
        <v>1</v>
      </c>
      <c r="O119"/>
      <c r="P119">
        <v>123</v>
      </c>
      <c r="Q119"/>
      <c r="R119"/>
      <c r="S119"/>
      <c r="T119" t="s">
        <v>289</v>
      </c>
      <c r="U119">
        <v>-1</v>
      </c>
    </row>
    <row r="120" spans="1:21" ht="15" customHeight="1" x14ac:dyDescent="0.25">
      <c r="A120" s="78">
        <v>90</v>
      </c>
      <c r="B120" s="78">
        <v>26</v>
      </c>
      <c r="C120" s="95">
        <v>0.77083333333333337</v>
      </c>
      <c r="D120" t="s">
        <v>22</v>
      </c>
      <c r="E120">
        <v>1</v>
      </c>
      <c r="F120" t="s">
        <v>229</v>
      </c>
      <c r="G120"/>
      <c r="H120"/>
      <c r="I120"/>
      <c r="J120" s="72" t="s">
        <v>15</v>
      </c>
      <c r="K120" t="s">
        <v>8</v>
      </c>
      <c r="L120"/>
      <c r="M120" s="48">
        <v>45348</v>
      </c>
      <c r="N120">
        <v>1</v>
      </c>
      <c r="O120"/>
      <c r="P120">
        <v>237</v>
      </c>
      <c r="Q120"/>
      <c r="R120"/>
      <c r="S120"/>
      <c r="T120" t="s">
        <v>289</v>
      </c>
      <c r="U120">
        <v>-1</v>
      </c>
    </row>
    <row r="121" spans="1:21" ht="15" customHeight="1" x14ac:dyDescent="0.25">
      <c r="A121" s="78">
        <v>91</v>
      </c>
      <c r="B121" s="78">
        <v>26</v>
      </c>
      <c r="C121" s="95">
        <v>0.83333333333333337</v>
      </c>
      <c r="D121" t="s">
        <v>12</v>
      </c>
      <c r="E121">
        <v>2</v>
      </c>
      <c r="F121"/>
      <c r="G121"/>
      <c r="H121"/>
      <c r="I121"/>
      <c r="J121" s="76" t="s">
        <v>28</v>
      </c>
      <c r="K121" t="s">
        <v>8</v>
      </c>
      <c r="L121" t="s">
        <v>223</v>
      </c>
      <c r="M121" s="48">
        <v>45348</v>
      </c>
      <c r="N121">
        <v>0</v>
      </c>
      <c r="O121"/>
      <c r="P121"/>
      <c r="Q121"/>
      <c r="R121"/>
      <c r="S121"/>
      <c r="T121" t="s">
        <v>289</v>
      </c>
      <c r="U121">
        <v>-1</v>
      </c>
    </row>
    <row r="122" spans="1:21" ht="15" customHeight="1" x14ac:dyDescent="0.25">
      <c r="A122" s="78">
        <v>92</v>
      </c>
      <c r="B122" s="78">
        <v>27</v>
      </c>
      <c r="C122" s="95">
        <v>0.4375</v>
      </c>
      <c r="D122" t="s">
        <v>93</v>
      </c>
      <c r="E122">
        <v>1</v>
      </c>
      <c r="F122" t="s">
        <v>161</v>
      </c>
      <c r="G122" t="s">
        <v>162</v>
      </c>
      <c r="H122"/>
      <c r="I122"/>
      <c r="J122" s="72" t="s">
        <v>15</v>
      </c>
      <c r="K122" t="s">
        <v>8</v>
      </c>
      <c r="L122"/>
      <c r="M122" s="48">
        <v>45349</v>
      </c>
      <c r="N122">
        <v>2</v>
      </c>
      <c r="O122"/>
      <c r="P122">
        <v>201</v>
      </c>
      <c r="Q122">
        <v>195</v>
      </c>
      <c r="R122"/>
      <c r="S122"/>
      <c r="T122" t="s">
        <v>289</v>
      </c>
      <c r="U122">
        <v>-1</v>
      </c>
    </row>
    <row r="123" spans="1:21" ht="15" customHeight="1" x14ac:dyDescent="0.25">
      <c r="A123" s="78">
        <v>93</v>
      </c>
      <c r="B123" s="78">
        <v>27</v>
      </c>
      <c r="C123" s="95">
        <v>0.47916666666666669</v>
      </c>
      <c r="D123" t="s">
        <v>69</v>
      </c>
      <c r="E123">
        <v>1</v>
      </c>
      <c r="F123" t="s">
        <v>220</v>
      </c>
      <c r="G123"/>
      <c r="H123"/>
      <c r="I123"/>
      <c r="J123" s="72" t="s">
        <v>15</v>
      </c>
      <c r="K123" t="s">
        <v>8</v>
      </c>
      <c r="L123"/>
      <c r="M123" s="48">
        <v>45349</v>
      </c>
      <c r="N123">
        <v>1</v>
      </c>
      <c r="O123"/>
      <c r="P123">
        <v>9</v>
      </c>
      <c r="Q123"/>
      <c r="R123"/>
      <c r="S123"/>
      <c r="T123" t="s">
        <v>289</v>
      </c>
      <c r="U123">
        <v>-1</v>
      </c>
    </row>
    <row r="124" spans="1:21" ht="15" customHeight="1" x14ac:dyDescent="0.25">
      <c r="A124" s="78">
        <v>94</v>
      </c>
      <c r="B124" s="78">
        <v>27</v>
      </c>
      <c r="C124" s="95">
        <v>0.625</v>
      </c>
      <c r="D124" t="s">
        <v>20</v>
      </c>
      <c r="E124">
        <v>3</v>
      </c>
      <c r="F124" t="s">
        <v>183</v>
      </c>
      <c r="G124"/>
      <c r="H124"/>
      <c r="I124"/>
      <c r="J124" s="76" t="s">
        <v>18</v>
      </c>
      <c r="K124" t="s">
        <v>8</v>
      </c>
      <c r="L124" t="s">
        <v>223</v>
      </c>
      <c r="M124" s="48">
        <v>45349</v>
      </c>
      <c r="N124">
        <v>1</v>
      </c>
      <c r="O124"/>
      <c r="P124">
        <v>121</v>
      </c>
      <c r="Q124"/>
      <c r="R124"/>
      <c r="S124"/>
      <c r="T124" t="s">
        <v>289</v>
      </c>
      <c r="U124">
        <v>-1</v>
      </c>
    </row>
    <row r="125" spans="1:21" ht="15" customHeight="1" x14ac:dyDescent="0.25">
      <c r="A125" s="78">
        <v>95</v>
      </c>
      <c r="B125" s="78">
        <v>28</v>
      </c>
      <c r="C125" s="95">
        <v>0.33333333333333331</v>
      </c>
      <c r="D125" t="s">
        <v>79</v>
      </c>
      <c r="E125">
        <v>1</v>
      </c>
      <c r="F125" t="s">
        <v>183</v>
      </c>
      <c r="G125"/>
      <c r="H125"/>
      <c r="I125"/>
      <c r="J125" s="72" t="s">
        <v>15</v>
      </c>
      <c r="K125" t="s">
        <v>8</v>
      </c>
      <c r="L125"/>
      <c r="M125" s="48">
        <v>45350</v>
      </c>
      <c r="N125">
        <v>1</v>
      </c>
      <c r="O125"/>
      <c r="P125">
        <v>121</v>
      </c>
      <c r="Q125"/>
      <c r="R125"/>
      <c r="S125"/>
      <c r="T125" t="s">
        <v>289</v>
      </c>
      <c r="U125">
        <v>-1</v>
      </c>
    </row>
    <row r="126" spans="1:21" ht="15" customHeight="1" x14ac:dyDescent="0.25">
      <c r="A126" s="78">
        <v>96</v>
      </c>
      <c r="B126" s="78">
        <v>28</v>
      </c>
      <c r="C126" s="95">
        <v>0.375</v>
      </c>
      <c r="D126" t="s">
        <v>85</v>
      </c>
      <c r="E126">
        <v>1</v>
      </c>
      <c r="F126" t="s">
        <v>145</v>
      </c>
      <c r="G126"/>
      <c r="H126"/>
      <c r="I126"/>
      <c r="J126" s="72" t="s">
        <v>15</v>
      </c>
      <c r="K126" t="s">
        <v>8</v>
      </c>
      <c r="L126"/>
      <c r="M126" s="48">
        <v>45350</v>
      </c>
      <c r="N126">
        <v>1</v>
      </c>
      <c r="O126"/>
      <c r="P126">
        <v>163</v>
      </c>
      <c r="Q126"/>
      <c r="R126"/>
      <c r="S126"/>
      <c r="T126" t="s">
        <v>289</v>
      </c>
      <c r="U126">
        <v>-1</v>
      </c>
    </row>
    <row r="127" spans="1:21" ht="15" customHeight="1" x14ac:dyDescent="0.25">
      <c r="A127" s="78">
        <v>97</v>
      </c>
      <c r="B127" s="78">
        <v>28</v>
      </c>
      <c r="C127" s="95">
        <v>0.41666666666666669</v>
      </c>
      <c r="D127" t="s">
        <v>93</v>
      </c>
      <c r="E127">
        <v>1.5</v>
      </c>
      <c r="F127" t="s">
        <v>163</v>
      </c>
      <c r="G127" t="s">
        <v>238</v>
      </c>
      <c r="H127" t="s">
        <v>239</v>
      </c>
      <c r="I127"/>
      <c r="J127" t="s">
        <v>96</v>
      </c>
      <c r="K127" t="s">
        <v>8</v>
      </c>
      <c r="L127"/>
      <c r="M127" s="48">
        <v>45350</v>
      </c>
      <c r="N127">
        <v>3</v>
      </c>
      <c r="O127" t="s">
        <v>261</v>
      </c>
      <c r="P127">
        <v>38</v>
      </c>
      <c r="Q127">
        <v>236</v>
      </c>
      <c r="R127">
        <v>33</v>
      </c>
      <c r="S127"/>
      <c r="T127" t="s">
        <v>289</v>
      </c>
      <c r="U127">
        <v>-2</v>
      </c>
    </row>
    <row r="128" spans="1:21" ht="15" customHeight="1" x14ac:dyDescent="0.25">
      <c r="A128" s="78">
        <v>98</v>
      </c>
      <c r="B128" s="78">
        <v>28</v>
      </c>
      <c r="C128" s="95">
        <v>0.47916666666666669</v>
      </c>
      <c r="D128" t="s">
        <v>69</v>
      </c>
      <c r="E128">
        <v>1</v>
      </c>
      <c r="F128" t="s">
        <v>170</v>
      </c>
      <c r="G128" t="s">
        <v>171</v>
      </c>
      <c r="H128"/>
      <c r="I128"/>
      <c r="J128" s="72" t="s">
        <v>15</v>
      </c>
      <c r="K128" t="s">
        <v>8</v>
      </c>
      <c r="L128"/>
      <c r="M128" s="48">
        <v>45350</v>
      </c>
      <c r="N128">
        <v>2</v>
      </c>
      <c r="O128"/>
      <c r="P128">
        <v>209</v>
      </c>
      <c r="Q128">
        <v>167</v>
      </c>
      <c r="R128"/>
      <c r="S128"/>
      <c r="T128" t="s">
        <v>289</v>
      </c>
      <c r="U128">
        <v>-1</v>
      </c>
    </row>
    <row r="129" spans="1:21" ht="15" x14ac:dyDescent="0.25">
      <c r="A129" s="78">
        <v>99</v>
      </c>
      <c r="B129" s="78">
        <v>28</v>
      </c>
      <c r="C129" s="95">
        <v>0.58333333333333337</v>
      </c>
      <c r="D129" t="s">
        <v>19</v>
      </c>
      <c r="E129">
        <v>1</v>
      </c>
      <c r="F129" t="s">
        <v>179</v>
      </c>
      <c r="G129" t="s">
        <v>180</v>
      </c>
      <c r="H129"/>
      <c r="I129"/>
      <c r="J129" t="s">
        <v>258</v>
      </c>
      <c r="K129" t="s">
        <v>8</v>
      </c>
      <c r="L129"/>
      <c r="M129" s="48">
        <v>45350</v>
      </c>
      <c r="N129">
        <v>2</v>
      </c>
      <c r="O129" t="s">
        <v>259</v>
      </c>
      <c r="P129">
        <v>132</v>
      </c>
      <c r="Q129">
        <v>53</v>
      </c>
      <c r="R129"/>
      <c r="S129"/>
      <c r="T129" t="s">
        <v>289</v>
      </c>
      <c r="U129">
        <v>-2</v>
      </c>
    </row>
    <row r="130" spans="1:21" ht="15" x14ac:dyDescent="0.25">
      <c r="A130" s="78">
        <v>100</v>
      </c>
      <c r="B130" s="78">
        <v>28</v>
      </c>
      <c r="C130" s="95">
        <v>0.72916666666666663</v>
      </c>
      <c r="D130" t="s">
        <v>6</v>
      </c>
      <c r="E130">
        <v>1</v>
      </c>
      <c r="F130" t="s">
        <v>209</v>
      </c>
      <c r="G130" t="s">
        <v>210</v>
      </c>
      <c r="H130"/>
      <c r="I130"/>
      <c r="J130" t="s">
        <v>7</v>
      </c>
      <c r="K130" t="s">
        <v>8</v>
      </c>
      <c r="L130"/>
      <c r="M130" s="48">
        <v>45350</v>
      </c>
      <c r="N130">
        <v>2</v>
      </c>
      <c r="O130" t="s">
        <v>254</v>
      </c>
      <c r="P130">
        <v>241</v>
      </c>
      <c r="Q130">
        <v>137</v>
      </c>
      <c r="R130"/>
      <c r="S130"/>
      <c r="T130" t="s">
        <v>289</v>
      </c>
      <c r="U130">
        <v>-2</v>
      </c>
    </row>
    <row r="131" spans="1:21" ht="15" x14ac:dyDescent="0.25">
      <c r="A131" s="78">
        <v>101</v>
      </c>
      <c r="B131" s="78">
        <v>28</v>
      </c>
      <c r="C131" s="95">
        <v>0.77083333333333337</v>
      </c>
      <c r="D131" t="s">
        <v>16</v>
      </c>
      <c r="E131">
        <v>1.5</v>
      </c>
      <c r="F131" t="s">
        <v>211</v>
      </c>
      <c r="G131" t="s">
        <v>212</v>
      </c>
      <c r="H131" t="s">
        <v>213</v>
      </c>
      <c r="I131"/>
      <c r="J131" t="s">
        <v>7</v>
      </c>
      <c r="K131" t="s">
        <v>8</v>
      </c>
      <c r="L131"/>
      <c r="M131" s="48">
        <v>45350</v>
      </c>
      <c r="N131">
        <v>3</v>
      </c>
      <c r="O131" t="s">
        <v>262</v>
      </c>
      <c r="P131">
        <v>45</v>
      </c>
      <c r="Q131">
        <v>14</v>
      </c>
      <c r="R131">
        <v>20</v>
      </c>
      <c r="S131"/>
      <c r="T131" t="s">
        <v>289</v>
      </c>
      <c r="U131">
        <v>-2</v>
      </c>
    </row>
    <row r="132" spans="1:21" ht="15" x14ac:dyDescent="0.25">
      <c r="A132" s="78">
        <v>102</v>
      </c>
      <c r="B132" s="78">
        <v>28</v>
      </c>
      <c r="C132" s="95">
        <v>0.83333333333333337</v>
      </c>
      <c r="D132" t="s">
        <v>68</v>
      </c>
      <c r="E132">
        <v>1.5</v>
      </c>
      <c r="F132" t="s">
        <v>214</v>
      </c>
      <c r="G132" t="s">
        <v>216</v>
      </c>
      <c r="H132" t="s">
        <v>217</v>
      </c>
      <c r="I132" t="s">
        <v>215</v>
      </c>
      <c r="J132" t="s">
        <v>7</v>
      </c>
      <c r="K132" t="s">
        <v>8</v>
      </c>
      <c r="L132"/>
      <c r="M132" s="48">
        <v>45350</v>
      </c>
      <c r="N132">
        <v>4</v>
      </c>
      <c r="O132" t="s">
        <v>257</v>
      </c>
      <c r="P132">
        <v>124</v>
      </c>
      <c r="Q132">
        <v>60</v>
      </c>
      <c r="R132">
        <v>147</v>
      </c>
      <c r="S132">
        <v>101</v>
      </c>
      <c r="T132" t="s">
        <v>289</v>
      </c>
      <c r="U132">
        <v>-2</v>
      </c>
    </row>
    <row r="133" spans="1:21" ht="15" x14ac:dyDescent="0.25">
      <c r="A133" s="78">
        <v>103</v>
      </c>
      <c r="B133" s="78">
        <v>29</v>
      </c>
      <c r="C133" s="95">
        <v>0.41666666666666669</v>
      </c>
      <c r="D133" t="s">
        <v>72</v>
      </c>
      <c r="E133">
        <v>1</v>
      </c>
      <c r="F133" t="s">
        <v>163</v>
      </c>
      <c r="G133"/>
      <c r="H133"/>
      <c r="I133"/>
      <c r="J133" s="72" t="s">
        <v>15</v>
      </c>
      <c r="K133" t="s">
        <v>8</v>
      </c>
      <c r="L133"/>
      <c r="M133" s="48">
        <v>45351</v>
      </c>
      <c r="N133">
        <v>1</v>
      </c>
      <c r="O133"/>
      <c r="P133">
        <v>38</v>
      </c>
      <c r="Q133"/>
      <c r="R133"/>
      <c r="S133"/>
      <c r="T133" t="s">
        <v>289</v>
      </c>
      <c r="U133">
        <v>-1</v>
      </c>
    </row>
    <row r="134" spans="1:21" ht="15" x14ac:dyDescent="0.25">
      <c r="A134" s="92">
        <v>104</v>
      </c>
      <c r="B134" s="92">
        <v>29</v>
      </c>
      <c r="C134" s="97">
        <v>0.45833333333333331</v>
      </c>
      <c r="D134" s="93" t="s">
        <v>69</v>
      </c>
      <c r="E134" s="93">
        <v>1.5</v>
      </c>
      <c r="F134" s="76" t="s">
        <v>279</v>
      </c>
      <c r="G134"/>
      <c r="H134"/>
      <c r="I134"/>
      <c r="J134" s="76" t="s">
        <v>277</v>
      </c>
      <c r="K134" s="93" t="s">
        <v>8</v>
      </c>
      <c r="L134" s="93" t="s">
        <v>223</v>
      </c>
      <c r="M134"/>
      <c r="N134">
        <v>1</v>
      </c>
      <c r="O134"/>
      <c r="P134"/>
      <c r="Q134"/>
      <c r="R134"/>
      <c r="S134"/>
      <c r="T134" t="s">
        <v>289</v>
      </c>
      <c r="U134">
        <v>-1</v>
      </c>
    </row>
    <row r="135" spans="1:21" ht="15" x14ac:dyDescent="0.25">
      <c r="A135" s="80" t="s">
        <v>278</v>
      </c>
      <c r="B135" s="80">
        <v>29</v>
      </c>
      <c r="C135" s="96">
        <v>0.45833333333333331</v>
      </c>
      <c r="D135" s="58" t="s">
        <v>69</v>
      </c>
      <c r="E135" s="58">
        <v>1.5</v>
      </c>
      <c r="F135" t="s">
        <v>263</v>
      </c>
      <c r="G135"/>
      <c r="H135"/>
      <c r="I135"/>
      <c r="J135" t="s">
        <v>275</v>
      </c>
      <c r="K135" s="58" t="s">
        <v>8</v>
      </c>
      <c r="L135" s="58" t="s">
        <v>223</v>
      </c>
      <c r="M135" s="48">
        <v>45351</v>
      </c>
      <c r="N135">
        <v>1</v>
      </c>
      <c r="O135" t="s">
        <v>293</v>
      </c>
      <c r="P135">
        <v>94</v>
      </c>
      <c r="Q135"/>
      <c r="R135"/>
      <c r="S135"/>
      <c r="T135" t="s">
        <v>289</v>
      </c>
      <c r="U135">
        <v>-2</v>
      </c>
    </row>
    <row r="136" spans="1:21" ht="15" x14ac:dyDescent="0.25">
      <c r="A136" s="80" t="s">
        <v>278</v>
      </c>
      <c r="B136" s="80">
        <v>29</v>
      </c>
      <c r="C136" s="96">
        <v>0.45833333333333331</v>
      </c>
      <c r="D136" s="58" t="s">
        <v>69</v>
      </c>
      <c r="E136" s="58">
        <v>1.5</v>
      </c>
      <c r="F136" t="s">
        <v>264</v>
      </c>
      <c r="G136"/>
      <c r="H136"/>
      <c r="I136"/>
      <c r="J136" s="76" t="s">
        <v>272</v>
      </c>
      <c r="K136" s="58" t="s">
        <v>8</v>
      </c>
      <c r="L136" s="58" t="s">
        <v>223</v>
      </c>
      <c r="M136" s="48">
        <v>45351</v>
      </c>
      <c r="N136">
        <v>1</v>
      </c>
      <c r="O136"/>
      <c r="P136">
        <v>95</v>
      </c>
      <c r="Q136"/>
      <c r="R136"/>
      <c r="S136"/>
      <c r="T136" t="s">
        <v>289</v>
      </c>
      <c r="U136">
        <v>-1</v>
      </c>
    </row>
    <row r="137" spans="1:21" ht="15" x14ac:dyDescent="0.25">
      <c r="A137" s="80" t="s">
        <v>278</v>
      </c>
      <c r="B137" s="80">
        <v>29</v>
      </c>
      <c r="C137" s="96">
        <v>0.45833333333333331</v>
      </c>
      <c r="D137" s="58" t="s">
        <v>69</v>
      </c>
      <c r="E137" s="58">
        <v>1.5</v>
      </c>
      <c r="F137" t="s">
        <v>265</v>
      </c>
      <c r="G137"/>
      <c r="H137"/>
      <c r="I137"/>
      <c r="J137" s="76" t="s">
        <v>272</v>
      </c>
      <c r="K137" s="58" t="s">
        <v>8</v>
      </c>
      <c r="L137" s="58" t="s">
        <v>223</v>
      </c>
      <c r="M137" s="48">
        <v>45351</v>
      </c>
      <c r="N137">
        <v>1</v>
      </c>
      <c r="O137"/>
      <c r="P137">
        <v>96</v>
      </c>
      <c r="Q137"/>
      <c r="R137"/>
      <c r="S137"/>
      <c r="T137" t="s">
        <v>289</v>
      </c>
      <c r="U137">
        <v>-1</v>
      </c>
    </row>
  </sheetData>
  <mergeCells count="5">
    <mergeCell ref="J9:K10"/>
    <mergeCell ref="D10:D12"/>
    <mergeCell ref="E10:E12"/>
    <mergeCell ref="D15:D17"/>
    <mergeCell ref="E15:E17"/>
  </mergeCells>
  <phoneticPr fontId="21" type="noConversion"/>
  <conditionalFormatting sqref="U25:U137">
    <cfRule type="cellIs" dxfId="22" priority="1" stopIfTrue="1" operator="equal">
      <formula>-1</formula>
    </cfRule>
    <cfRule type="cellIs" dxfId="21" priority="2" stopIfTrue="1" operator="equal">
      <formula>1</formula>
    </cfRule>
    <cfRule type="cellIs" dxfId="20" priority="3" stopIfTrue="1" operator="equal">
      <formula>-2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E8AA1-066B-4592-8669-E7EC5ED6BF30}">
  <sheetPr codeName="Hoja9">
    <tabColor rgb="FF0070C0"/>
  </sheetPr>
  <dimension ref="A1:AO913"/>
  <sheetViews>
    <sheetView showGridLines="0" topLeftCell="M49" zoomScaleNormal="100" workbookViewId="0">
      <selection activeCell="U64" sqref="U64"/>
    </sheetView>
  </sheetViews>
  <sheetFormatPr baseColWidth="10" defaultColWidth="14.42578125" defaultRowHeight="15" customHeight="1" x14ac:dyDescent="0.2"/>
  <cols>
    <col min="1" max="1" width="11.5703125" style="17" customWidth="1"/>
    <col min="2" max="4" width="5.7109375" style="17" customWidth="1"/>
    <col min="5" max="5" width="6" style="17" customWidth="1"/>
    <col min="6" max="11" width="16.7109375" style="17" customWidth="1"/>
    <col min="12" max="12" width="18.7109375" style="17" customWidth="1"/>
    <col min="13" max="13" width="12.7109375" style="17" customWidth="1"/>
    <col min="14" max="14" width="10.5703125" style="17" customWidth="1"/>
    <col min="15" max="15" width="20" style="17" customWidth="1"/>
    <col min="16" max="16" width="7.42578125" style="17" customWidth="1"/>
    <col min="17" max="17" width="9" style="17" customWidth="1"/>
    <col min="18" max="18" width="6.85546875" style="17" customWidth="1"/>
    <col min="19" max="21" width="11" style="17" customWidth="1"/>
    <col min="22" max="16384" width="14.42578125" style="17"/>
  </cols>
  <sheetData>
    <row r="1" spans="1:21" ht="15" customHeight="1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</row>
    <row r="2" spans="1:21" ht="15" customHeight="1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21" ht="15" customHeight="1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4" spans="1:21" ht="15" customHeight="1" x14ac:dyDescent="0.2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6"/>
      <c r="N4" s="16"/>
      <c r="O4" s="16"/>
      <c r="P4" s="41"/>
      <c r="Q4" s="16"/>
    </row>
    <row r="5" spans="1:21" ht="1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6"/>
      <c r="N5" s="16"/>
      <c r="O5" s="16"/>
      <c r="P5" s="16"/>
      <c r="Q5" s="16"/>
    </row>
    <row r="6" spans="1:21" ht="15" customHeight="1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6"/>
      <c r="N6" s="16"/>
      <c r="O6" s="16"/>
      <c r="P6" s="16"/>
      <c r="Q6" s="16"/>
    </row>
    <row r="7" spans="1:21" ht="15" customHeight="1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6"/>
      <c r="N7" s="16"/>
      <c r="O7" s="16"/>
      <c r="P7" s="16"/>
      <c r="Q7" s="16"/>
      <c r="R7" s="16"/>
      <c r="S7" s="16"/>
      <c r="T7" s="16"/>
      <c r="U7" s="16"/>
    </row>
    <row r="8" spans="1:21" ht="15" customHeight="1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6"/>
      <c r="N8" s="16"/>
      <c r="O8" s="16"/>
      <c r="P8" s="16"/>
      <c r="Q8" s="16"/>
      <c r="R8" s="16"/>
      <c r="S8" s="16"/>
      <c r="T8" s="16"/>
      <c r="U8" s="16"/>
    </row>
    <row r="9" spans="1:21" ht="15" customHeight="1" thickBot="1" x14ac:dyDescent="0.25">
      <c r="A9" s="19"/>
      <c r="B9" s="19"/>
      <c r="C9" s="19"/>
      <c r="D9" s="19"/>
      <c r="E9" s="19"/>
      <c r="F9" s="19"/>
      <c r="G9" s="19"/>
      <c r="H9" s="19"/>
      <c r="I9" s="19"/>
      <c r="J9" s="128" t="str">
        <f>"TOTAL HORAS "&amp;E10&amp;" "&amp;E15</f>
        <v>TOTAL HORAS ALBU ENERO</v>
      </c>
      <c r="K9" s="129"/>
      <c r="L9" s="19"/>
      <c r="M9" s="16"/>
      <c r="N9" s="16"/>
      <c r="Q9" s="16"/>
      <c r="R9" s="16"/>
      <c r="S9" s="16"/>
      <c r="T9" s="16"/>
      <c r="U9" s="16"/>
    </row>
    <row r="10" spans="1:21" ht="15" customHeight="1" x14ac:dyDescent="0.2">
      <c r="A10" s="19"/>
      <c r="B10" s="19"/>
      <c r="C10" s="19"/>
      <c r="D10" s="132" t="s">
        <v>0</v>
      </c>
      <c r="E10" s="135" t="s">
        <v>77</v>
      </c>
      <c r="F10" s="19"/>
      <c r="G10" s="19"/>
      <c r="H10" s="19"/>
      <c r="I10" s="19"/>
      <c r="J10" s="130"/>
      <c r="K10" s="131"/>
      <c r="L10" s="19"/>
      <c r="M10" s="16"/>
      <c r="N10" s="16"/>
      <c r="Q10" s="16"/>
      <c r="R10" s="16"/>
      <c r="S10" s="16"/>
      <c r="T10" s="16"/>
      <c r="U10" s="16"/>
    </row>
    <row r="11" spans="1:21" ht="15" customHeight="1" x14ac:dyDescent="0.2">
      <c r="A11" s="19"/>
      <c r="B11" s="19"/>
      <c r="C11" s="19"/>
      <c r="D11" s="133"/>
      <c r="E11" s="136"/>
      <c r="F11" s="19"/>
      <c r="G11" s="19"/>
      <c r="H11" s="19"/>
      <c r="I11" s="19"/>
      <c r="J11" s="20" t="s">
        <v>123</v>
      </c>
      <c r="K11" s="52">
        <f>SUMIF(J25:J111,"=ESCUELA",E25:E111)</f>
        <v>10.5</v>
      </c>
      <c r="L11" s="19"/>
      <c r="M11" s="16"/>
      <c r="N11" s="16"/>
      <c r="Q11" s="16"/>
      <c r="R11" s="16"/>
      <c r="S11" s="16"/>
      <c r="T11" s="16"/>
      <c r="U11" s="16"/>
    </row>
    <row r="12" spans="1:21" ht="15" customHeight="1" thickBot="1" x14ac:dyDescent="0.25">
      <c r="A12" s="19"/>
      <c r="B12" s="19"/>
      <c r="C12" s="19"/>
      <c r="D12" s="134"/>
      <c r="E12" s="137"/>
      <c r="F12" s="19"/>
      <c r="G12" s="19"/>
      <c r="H12" s="19"/>
      <c r="I12" s="19"/>
      <c r="J12" s="20" t="s">
        <v>124</v>
      </c>
      <c r="K12" s="52">
        <f>SUMIF(J25:J111,"=BONO",E25:E111)</f>
        <v>36</v>
      </c>
      <c r="L12" s="19"/>
      <c r="M12" s="16"/>
      <c r="N12" s="16"/>
      <c r="Q12" s="16"/>
      <c r="R12" s="16"/>
      <c r="S12" s="16"/>
      <c r="T12" s="16"/>
      <c r="U12" s="16"/>
    </row>
    <row r="13" spans="1:21" ht="15" customHeight="1" x14ac:dyDescent="0.2">
      <c r="A13" s="19"/>
      <c r="B13" s="19"/>
      <c r="C13" s="19"/>
      <c r="D13" s="19"/>
      <c r="E13" s="19"/>
      <c r="F13" s="19"/>
      <c r="G13" s="19"/>
      <c r="H13" s="19"/>
      <c r="I13" s="19"/>
      <c r="J13" s="20" t="s">
        <v>125</v>
      </c>
      <c r="K13" s="52">
        <f>SUMIF(J25:J111,"=INFANTIL",E25:E111)</f>
        <v>0</v>
      </c>
      <c r="L13" s="19"/>
      <c r="M13" s="16"/>
      <c r="N13" s="16"/>
      <c r="Q13" s="16"/>
      <c r="R13" s="16"/>
      <c r="S13" s="16"/>
      <c r="T13" s="16"/>
      <c r="U13" s="16"/>
    </row>
    <row r="14" spans="1:21" ht="15" customHeight="1" thickBo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20" t="s">
        <v>126</v>
      </c>
      <c r="K14" s="52">
        <f>SUMIF(J25:J111,"=CAPITANÍA",E25:E111)</f>
        <v>15</v>
      </c>
      <c r="L14" s="19"/>
      <c r="M14" s="16"/>
      <c r="N14" s="16"/>
      <c r="Q14" s="16"/>
      <c r="R14" s="16"/>
      <c r="S14" s="16"/>
      <c r="T14" s="16"/>
      <c r="U14" s="16"/>
    </row>
    <row r="15" spans="1:21" ht="15" customHeight="1" x14ac:dyDescent="0.2">
      <c r="A15" s="19"/>
      <c r="B15" s="19"/>
      <c r="C15" s="19"/>
      <c r="D15" s="138" t="s">
        <v>2</v>
      </c>
      <c r="E15" s="135" t="s">
        <v>78</v>
      </c>
      <c r="F15" s="19"/>
      <c r="G15" s="19"/>
      <c r="H15" s="19"/>
      <c r="I15" s="19"/>
      <c r="J15" s="20" t="s">
        <v>127</v>
      </c>
      <c r="K15" s="52">
        <f>SUMIF(J25:J111,"=PARTICULAR",E25:E111)</f>
        <v>7.5</v>
      </c>
      <c r="L15" s="19"/>
      <c r="M15" s="16"/>
      <c r="N15" s="16"/>
      <c r="Q15" s="16"/>
      <c r="R15" s="16"/>
      <c r="S15" s="16"/>
      <c r="T15" s="16"/>
      <c r="U15" s="16"/>
    </row>
    <row r="16" spans="1:21" ht="15" customHeight="1" x14ac:dyDescent="0.2">
      <c r="A16" s="19"/>
      <c r="B16" s="19"/>
      <c r="C16" s="19"/>
      <c r="D16" s="133"/>
      <c r="E16" s="136"/>
      <c r="F16" s="19"/>
      <c r="G16" s="19"/>
      <c r="H16" s="19"/>
      <c r="I16" s="19"/>
      <c r="J16" s="20" t="s">
        <v>128</v>
      </c>
      <c r="K16" s="52">
        <f>SUMIF(J25:J111,"=TORNEO",E25:E111)</f>
        <v>0</v>
      </c>
      <c r="L16" s="19"/>
      <c r="M16" s="16"/>
      <c r="N16" s="16"/>
      <c r="Q16" s="16"/>
      <c r="R16" s="16"/>
      <c r="S16" s="16"/>
      <c r="T16" s="16"/>
      <c r="U16" s="16"/>
    </row>
    <row r="17" spans="1:41" ht="15" customHeight="1" thickBot="1" x14ac:dyDescent="0.25">
      <c r="A17" s="16"/>
      <c r="B17" s="16"/>
      <c r="C17" s="16"/>
      <c r="D17" s="134"/>
      <c r="E17" s="137"/>
      <c r="F17" s="16"/>
      <c r="G17" s="16"/>
      <c r="H17" s="16"/>
      <c r="I17" s="16"/>
      <c r="J17" s="20" t="s">
        <v>130</v>
      </c>
      <c r="K17" s="52">
        <f>SUMIF(J25:J111,"=COMPETICIÓN",E25:E111)</f>
        <v>10.5</v>
      </c>
      <c r="L17" s="16"/>
      <c r="M17" s="16"/>
      <c r="N17" s="16"/>
      <c r="Q17" s="16"/>
      <c r="R17" s="16"/>
      <c r="S17" s="16"/>
      <c r="T17" s="16"/>
      <c r="U17" s="16"/>
    </row>
    <row r="18" spans="1:41" ht="15" customHeight="1" x14ac:dyDescent="0.2">
      <c r="A18" s="16"/>
      <c r="B18" s="16"/>
      <c r="C18" s="16"/>
      <c r="D18" s="22"/>
      <c r="E18" s="22"/>
      <c r="F18" s="16"/>
      <c r="G18" s="16"/>
      <c r="H18" s="16"/>
      <c r="I18" s="16"/>
      <c r="J18" s="20" t="s">
        <v>131</v>
      </c>
      <c r="K18" s="52">
        <f>SUMIF(J25:J111,"=CLASE-PARTIDO",E25:E111)</f>
        <v>0</v>
      </c>
      <c r="L18" s="16"/>
      <c r="M18" s="16"/>
      <c r="N18" s="16"/>
      <c r="Q18" s="16"/>
      <c r="R18" s="16"/>
      <c r="S18" s="16"/>
      <c r="T18" s="16"/>
      <c r="U18" s="16"/>
    </row>
    <row r="19" spans="1:41" ht="15" customHeight="1" x14ac:dyDescent="0.2">
      <c r="C19" s="16"/>
      <c r="F19" s="16"/>
      <c r="G19" s="16"/>
      <c r="H19" s="16"/>
      <c r="I19" s="16"/>
      <c r="J19" s="23"/>
      <c r="K19" s="24">
        <f>SUM(K11:K18)</f>
        <v>79.5</v>
      </c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1:41" ht="15" customHeight="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41" ht="15" customHeight="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1:41" ht="15" customHeight="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41" ht="15" customHeight="1" thickBo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:41" ht="15" customHeight="1" thickBot="1" x14ac:dyDescent="0.25">
      <c r="A24" s="49" t="s">
        <v>155</v>
      </c>
      <c r="B24" s="42" t="s">
        <v>156</v>
      </c>
      <c r="C24" s="94" t="s">
        <v>132</v>
      </c>
      <c r="D24" s="50" t="s">
        <v>133</v>
      </c>
      <c r="E24" s="51" t="s">
        <v>157</v>
      </c>
      <c r="F24" s="42" t="s">
        <v>134</v>
      </c>
      <c r="G24" s="42" t="s">
        <v>135</v>
      </c>
      <c r="H24" s="42" t="s">
        <v>136</v>
      </c>
      <c r="I24" s="42" t="s">
        <v>137</v>
      </c>
      <c r="J24" s="42" t="s">
        <v>3</v>
      </c>
      <c r="K24" s="42" t="s">
        <v>4</v>
      </c>
      <c r="L24" s="53" t="s">
        <v>138</v>
      </c>
      <c r="M24" s="90" t="s">
        <v>246</v>
      </c>
      <c r="N24" s="90" t="s">
        <v>290</v>
      </c>
      <c r="O24" s="91" t="s">
        <v>247</v>
      </c>
      <c r="P24" s="90" t="s">
        <v>248</v>
      </c>
      <c r="Q24" s="90" t="s">
        <v>249</v>
      </c>
      <c r="R24" s="90" t="s">
        <v>250</v>
      </c>
      <c r="S24" s="90" t="s">
        <v>251</v>
      </c>
      <c r="T24" s="47" t="s">
        <v>288</v>
      </c>
      <c r="U24" s="47" t="s">
        <v>252</v>
      </c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O24" s="41"/>
    </row>
    <row r="25" spans="1:41" ht="15" customHeight="1" x14ac:dyDescent="0.25">
      <c r="A25" s="54">
        <v>1</v>
      </c>
      <c r="B25" s="54">
        <v>8</v>
      </c>
      <c r="C25" s="54" t="s">
        <v>79</v>
      </c>
      <c r="D25" s="54" t="s">
        <v>85</v>
      </c>
      <c r="E25" s="55">
        <v>1</v>
      </c>
      <c r="F25"/>
      <c r="G25" t="s">
        <v>180</v>
      </c>
      <c r="H25" t="s">
        <v>281</v>
      </c>
      <c r="I25"/>
      <c r="J25" s="76" t="s">
        <v>277</v>
      </c>
      <c r="K25" s="55" t="s">
        <v>8</v>
      </c>
      <c r="L25" s="54"/>
      <c r="M25" s="48">
        <v>45299</v>
      </c>
      <c r="N25">
        <v>2</v>
      </c>
      <c r="O25"/>
      <c r="P25"/>
      <c r="Q25">
        <v>53</v>
      </c>
      <c r="R25">
        <v>121</v>
      </c>
      <c r="S25"/>
      <c r="T25" t="s">
        <v>289</v>
      </c>
      <c r="U25">
        <v>-1</v>
      </c>
      <c r="V25" s="16"/>
      <c r="W25" s="16">
        <v>1</v>
      </c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O25" s="16"/>
    </row>
    <row r="26" spans="1:41" ht="15" customHeight="1" x14ac:dyDescent="0.25">
      <c r="A26" s="46">
        <v>2</v>
      </c>
      <c r="B26" s="46">
        <v>8</v>
      </c>
      <c r="C26" s="46" t="s">
        <v>85</v>
      </c>
      <c r="D26" s="46" t="s">
        <v>93</v>
      </c>
      <c r="E26" s="44">
        <v>1.5</v>
      </c>
      <c r="F26"/>
      <c r="G26"/>
      <c r="H26" t="s">
        <v>180</v>
      </c>
      <c r="I26"/>
      <c r="J26" t="s">
        <v>65</v>
      </c>
      <c r="K26" s="44" t="s">
        <v>8</v>
      </c>
      <c r="L26" s="46" t="s">
        <v>158</v>
      </c>
      <c r="M26" s="48">
        <v>45299</v>
      </c>
      <c r="N26">
        <v>1</v>
      </c>
      <c r="O26" t="s">
        <v>293</v>
      </c>
      <c r="P26"/>
      <c r="Q26"/>
      <c r="R26">
        <v>53</v>
      </c>
      <c r="S26"/>
      <c r="T26" t="s">
        <v>289</v>
      </c>
      <c r="U26">
        <v>1</v>
      </c>
      <c r="V26" s="16"/>
      <c r="W26" s="16">
        <v>2</v>
      </c>
      <c r="X26" s="16"/>
      <c r="Y26" s="16"/>
      <c r="Z26" s="16"/>
      <c r="AA26" s="16"/>
      <c r="AB26" s="16"/>
      <c r="AC26" s="16"/>
      <c r="AD26" s="16"/>
      <c r="AE26" s="16"/>
      <c r="AF26" s="16"/>
    </row>
    <row r="27" spans="1:41" s="65" customFormat="1" ht="15" customHeight="1" x14ac:dyDescent="0.25">
      <c r="A27" s="70" t="s">
        <v>260</v>
      </c>
      <c r="B27" s="70">
        <v>8</v>
      </c>
      <c r="C27" s="70" t="s">
        <v>85</v>
      </c>
      <c r="D27" s="70" t="s">
        <v>93</v>
      </c>
      <c r="E27" s="71">
        <v>1.5</v>
      </c>
      <c r="F27" s="76" t="s">
        <v>266</v>
      </c>
      <c r="G27"/>
      <c r="H27"/>
      <c r="I27"/>
      <c r="J27" s="76" t="s">
        <v>277</v>
      </c>
      <c r="K27" s="72" t="s">
        <v>221</v>
      </c>
      <c r="L27" s="70" t="s">
        <v>158</v>
      </c>
      <c r="M27"/>
      <c r="N27">
        <v>1</v>
      </c>
      <c r="O27"/>
      <c r="P27"/>
      <c r="Q27"/>
      <c r="R27"/>
      <c r="S27"/>
      <c r="T27" t="s">
        <v>289</v>
      </c>
      <c r="U27">
        <v>-1</v>
      </c>
      <c r="V27" s="64"/>
      <c r="W27" s="64">
        <v>3</v>
      </c>
      <c r="X27" s="64"/>
      <c r="Y27" s="64"/>
      <c r="Z27" s="64"/>
      <c r="AA27" s="64"/>
      <c r="AB27" s="64"/>
      <c r="AC27" s="64"/>
      <c r="AD27" s="64"/>
      <c r="AE27" s="64"/>
      <c r="AF27" s="64"/>
    </row>
    <row r="28" spans="1:41" ht="15" customHeight="1" x14ac:dyDescent="0.25">
      <c r="A28" s="56" t="s">
        <v>221</v>
      </c>
      <c r="B28" s="56">
        <v>8</v>
      </c>
      <c r="C28" s="56" t="s">
        <v>85</v>
      </c>
      <c r="D28" s="56" t="s">
        <v>93</v>
      </c>
      <c r="E28" s="57">
        <v>1.5</v>
      </c>
      <c r="F28" t="s">
        <v>187</v>
      </c>
      <c r="G28"/>
      <c r="H28"/>
      <c r="I28"/>
      <c r="J28" s="76" t="s">
        <v>272</v>
      </c>
      <c r="K28" s="58" t="s">
        <v>221</v>
      </c>
      <c r="L28" s="56" t="s">
        <v>158</v>
      </c>
      <c r="M28" s="48">
        <v>45299</v>
      </c>
      <c r="N28">
        <v>1</v>
      </c>
      <c r="O28"/>
      <c r="P28">
        <v>52</v>
      </c>
      <c r="Q28"/>
      <c r="R28"/>
      <c r="S28"/>
      <c r="T28" t="s">
        <v>289</v>
      </c>
      <c r="U28">
        <v>-1</v>
      </c>
      <c r="V28" s="16"/>
      <c r="W28" s="16">
        <v>10</v>
      </c>
      <c r="X28" s="16"/>
      <c r="Y28" s="16"/>
      <c r="Z28" s="16"/>
      <c r="AA28" s="16"/>
      <c r="AB28" s="16"/>
      <c r="AC28" s="16"/>
      <c r="AD28" s="16"/>
      <c r="AE28" s="16"/>
      <c r="AF28" s="16"/>
    </row>
    <row r="29" spans="1:41" ht="15" customHeight="1" x14ac:dyDescent="0.25">
      <c r="A29" s="56" t="s">
        <v>221</v>
      </c>
      <c r="B29" s="56">
        <v>8</v>
      </c>
      <c r="C29" s="56" t="s">
        <v>85</v>
      </c>
      <c r="D29" s="56" t="s">
        <v>93</v>
      </c>
      <c r="E29" s="57">
        <v>1.5</v>
      </c>
      <c r="F29" t="s">
        <v>180</v>
      </c>
      <c r="G29"/>
      <c r="H29"/>
      <c r="I29"/>
      <c r="J29" s="76" t="s">
        <v>272</v>
      </c>
      <c r="K29" s="58" t="s">
        <v>221</v>
      </c>
      <c r="L29" s="56" t="s">
        <v>158</v>
      </c>
      <c r="M29" s="48">
        <v>45299</v>
      </c>
      <c r="N29">
        <v>1</v>
      </c>
      <c r="O29"/>
      <c r="P29">
        <v>53</v>
      </c>
      <c r="Q29"/>
      <c r="R29"/>
      <c r="S29"/>
      <c r="T29" t="s">
        <v>289</v>
      </c>
      <c r="U29">
        <v>-1</v>
      </c>
      <c r="V29" s="16"/>
      <c r="W29" s="16">
        <v>14</v>
      </c>
      <c r="X29" s="16"/>
      <c r="Y29" s="16"/>
      <c r="Z29" s="16"/>
      <c r="AA29" s="16"/>
      <c r="AB29" s="16"/>
      <c r="AC29" s="16"/>
      <c r="AD29" s="16"/>
      <c r="AE29" s="16"/>
      <c r="AF29" s="16"/>
    </row>
    <row r="30" spans="1:41" ht="15" customHeight="1" x14ac:dyDescent="0.25">
      <c r="A30" s="56" t="s">
        <v>221</v>
      </c>
      <c r="B30" s="56">
        <v>8</v>
      </c>
      <c r="C30" s="56" t="s">
        <v>85</v>
      </c>
      <c r="D30" s="56" t="s">
        <v>93</v>
      </c>
      <c r="E30" s="57">
        <v>1.5</v>
      </c>
      <c r="F30" t="s">
        <v>267</v>
      </c>
      <c r="G30"/>
      <c r="H30"/>
      <c r="I30"/>
      <c r="J30" s="76" t="s">
        <v>272</v>
      </c>
      <c r="K30" s="58" t="s">
        <v>221</v>
      </c>
      <c r="L30" s="56" t="s">
        <v>158</v>
      </c>
      <c r="M30" s="48">
        <v>45299</v>
      </c>
      <c r="N30">
        <v>1</v>
      </c>
      <c r="O30"/>
      <c r="P30">
        <v>54</v>
      </c>
      <c r="Q30"/>
      <c r="R30"/>
      <c r="S30"/>
      <c r="T30" t="s">
        <v>289</v>
      </c>
      <c r="U30">
        <v>-1</v>
      </c>
      <c r="V30" s="16"/>
      <c r="W30" s="64">
        <v>15</v>
      </c>
      <c r="X30" s="16"/>
      <c r="Y30" s="16"/>
      <c r="Z30" s="16"/>
      <c r="AA30" s="16"/>
      <c r="AB30" s="16"/>
      <c r="AC30" s="16"/>
      <c r="AD30" s="16"/>
      <c r="AE30" s="16"/>
      <c r="AF30" s="16"/>
    </row>
    <row r="31" spans="1:41" ht="15" customHeight="1" x14ac:dyDescent="0.25">
      <c r="A31" s="56" t="s">
        <v>221</v>
      </c>
      <c r="B31" s="56">
        <v>8</v>
      </c>
      <c r="C31" s="56" t="s">
        <v>85</v>
      </c>
      <c r="D31" s="56" t="s">
        <v>93</v>
      </c>
      <c r="E31" s="57">
        <v>1.5</v>
      </c>
      <c r="F31" t="s">
        <v>199</v>
      </c>
      <c r="G31"/>
      <c r="H31"/>
      <c r="I31"/>
      <c r="J31" s="76" t="s">
        <v>272</v>
      </c>
      <c r="K31" s="58" t="s">
        <v>221</v>
      </c>
      <c r="L31" s="56" t="s">
        <v>158</v>
      </c>
      <c r="M31" s="48">
        <v>45299</v>
      </c>
      <c r="N31">
        <v>1</v>
      </c>
      <c r="O31"/>
      <c r="P31">
        <v>55</v>
      </c>
      <c r="Q31"/>
      <c r="R31"/>
      <c r="S31"/>
      <c r="T31" t="s">
        <v>289</v>
      </c>
      <c r="U31">
        <v>-1</v>
      </c>
      <c r="V31" s="16"/>
      <c r="W31" s="16">
        <v>16</v>
      </c>
      <c r="X31" s="16"/>
      <c r="Y31" s="16"/>
      <c r="Z31" s="16"/>
      <c r="AA31" s="16"/>
      <c r="AB31" s="16"/>
      <c r="AC31" s="16"/>
      <c r="AD31" s="16"/>
      <c r="AE31" s="16"/>
      <c r="AF31" s="16"/>
    </row>
    <row r="32" spans="1:41" ht="15" customHeight="1" x14ac:dyDescent="0.25">
      <c r="A32" s="56" t="s">
        <v>221</v>
      </c>
      <c r="B32" s="56">
        <v>8</v>
      </c>
      <c r="C32" s="56" t="s">
        <v>85</v>
      </c>
      <c r="D32" s="56" t="s">
        <v>93</v>
      </c>
      <c r="E32" s="57">
        <v>1.5</v>
      </c>
      <c r="F32" t="s">
        <v>268</v>
      </c>
      <c r="G32"/>
      <c r="H32"/>
      <c r="I32"/>
      <c r="J32" s="76" t="s">
        <v>272</v>
      </c>
      <c r="K32" s="58" t="s">
        <v>221</v>
      </c>
      <c r="L32" s="56" t="s">
        <v>158</v>
      </c>
      <c r="M32" s="48">
        <v>45299</v>
      </c>
      <c r="N32">
        <v>1</v>
      </c>
      <c r="O32"/>
      <c r="P32">
        <v>56</v>
      </c>
      <c r="Q32"/>
      <c r="R32"/>
      <c r="S32"/>
      <c r="T32" t="s">
        <v>289</v>
      </c>
      <c r="U32">
        <v>-1</v>
      </c>
      <c r="V32" s="16"/>
      <c r="W32" s="16">
        <v>17</v>
      </c>
      <c r="X32" s="16"/>
      <c r="Y32" s="16"/>
      <c r="Z32" s="16"/>
      <c r="AA32" s="16"/>
      <c r="AB32" s="16"/>
      <c r="AC32" s="16"/>
      <c r="AD32" s="16"/>
      <c r="AE32" s="16"/>
      <c r="AF32" s="16"/>
    </row>
    <row r="33" spans="1:32" ht="15" customHeight="1" x14ac:dyDescent="0.25">
      <c r="A33" s="56" t="s">
        <v>221</v>
      </c>
      <c r="B33" s="56">
        <v>8</v>
      </c>
      <c r="C33" s="56" t="s">
        <v>85</v>
      </c>
      <c r="D33" s="56" t="s">
        <v>93</v>
      </c>
      <c r="E33" s="57">
        <v>1.5</v>
      </c>
      <c r="F33" t="s">
        <v>269</v>
      </c>
      <c r="G33"/>
      <c r="H33"/>
      <c r="I33"/>
      <c r="J33" s="76" t="s">
        <v>272</v>
      </c>
      <c r="K33" s="58" t="s">
        <v>221</v>
      </c>
      <c r="L33" s="56" t="s">
        <v>158</v>
      </c>
      <c r="M33" s="48">
        <v>45299</v>
      </c>
      <c r="N33">
        <v>1</v>
      </c>
      <c r="O33"/>
      <c r="P33">
        <v>93</v>
      </c>
      <c r="Q33"/>
      <c r="R33"/>
      <c r="S33"/>
      <c r="T33" t="s">
        <v>289</v>
      </c>
      <c r="U33">
        <v>-1</v>
      </c>
      <c r="V33" s="16"/>
      <c r="W33" s="64">
        <v>18</v>
      </c>
      <c r="X33" s="16"/>
      <c r="Y33" s="16"/>
      <c r="Z33" s="16"/>
      <c r="AA33" s="16"/>
      <c r="AB33" s="16"/>
      <c r="AC33" s="16"/>
      <c r="AD33" s="16"/>
      <c r="AE33" s="16"/>
      <c r="AF33" s="16"/>
    </row>
    <row r="34" spans="1:32" ht="15" customHeight="1" x14ac:dyDescent="0.25">
      <c r="A34" s="70" t="s">
        <v>260</v>
      </c>
      <c r="B34" s="70">
        <v>8</v>
      </c>
      <c r="C34" s="70" t="s">
        <v>85</v>
      </c>
      <c r="D34" s="70" t="s">
        <v>93</v>
      </c>
      <c r="E34" s="71">
        <v>1.5</v>
      </c>
      <c r="F34" s="76" t="s">
        <v>273</v>
      </c>
      <c r="G34"/>
      <c r="H34"/>
      <c r="I34"/>
      <c r="J34" s="76" t="s">
        <v>277</v>
      </c>
      <c r="K34" s="73" t="s">
        <v>270</v>
      </c>
      <c r="L34" s="70" t="s">
        <v>158</v>
      </c>
      <c r="M34"/>
      <c r="N34">
        <v>1</v>
      </c>
      <c r="O34"/>
      <c r="P34"/>
      <c r="Q34"/>
      <c r="R34"/>
      <c r="S34"/>
      <c r="T34" t="s">
        <v>289</v>
      </c>
      <c r="U34">
        <v>-1</v>
      </c>
      <c r="V34" s="16"/>
      <c r="W34" s="16">
        <v>19</v>
      </c>
      <c r="X34" s="16"/>
      <c r="Y34" s="16"/>
      <c r="Z34" s="16"/>
      <c r="AA34" s="16"/>
      <c r="AB34" s="16"/>
      <c r="AC34" s="16"/>
      <c r="AD34" s="16"/>
      <c r="AE34" s="16"/>
      <c r="AF34" s="16"/>
    </row>
    <row r="35" spans="1:32" ht="15" customHeight="1" x14ac:dyDescent="0.25">
      <c r="A35" s="46">
        <v>3</v>
      </c>
      <c r="B35" s="46">
        <v>8</v>
      </c>
      <c r="C35" s="46" t="s">
        <v>93</v>
      </c>
      <c r="D35" s="46" t="s">
        <v>69</v>
      </c>
      <c r="E35" s="44">
        <v>1</v>
      </c>
      <c r="F35"/>
      <c r="G35"/>
      <c r="H35" t="s">
        <v>190</v>
      </c>
      <c r="I35"/>
      <c r="J35" t="s">
        <v>283</v>
      </c>
      <c r="K35" s="44" t="s">
        <v>8</v>
      </c>
      <c r="L35" s="46"/>
      <c r="M35" s="48">
        <v>45299</v>
      </c>
      <c r="N35">
        <v>1</v>
      </c>
      <c r="O35" t="s">
        <v>284</v>
      </c>
      <c r="P35"/>
      <c r="Q35"/>
      <c r="R35">
        <v>174</v>
      </c>
      <c r="S35"/>
      <c r="T35" t="s">
        <v>289</v>
      </c>
      <c r="U35">
        <v>1</v>
      </c>
      <c r="V35" s="16"/>
      <c r="W35" s="16">
        <v>20</v>
      </c>
      <c r="X35" s="16"/>
      <c r="Y35" s="16"/>
      <c r="Z35" s="16"/>
      <c r="AA35" s="16"/>
      <c r="AB35" s="16"/>
      <c r="AC35" s="16"/>
      <c r="AD35" s="16"/>
      <c r="AE35" s="16"/>
      <c r="AF35" s="16"/>
    </row>
    <row r="36" spans="1:32" ht="15" customHeight="1" x14ac:dyDescent="0.25">
      <c r="A36" s="46">
        <v>4</v>
      </c>
      <c r="B36" s="46">
        <v>8</v>
      </c>
      <c r="C36" s="46" t="s">
        <v>9</v>
      </c>
      <c r="D36" s="46" t="s">
        <v>5</v>
      </c>
      <c r="E36" s="44">
        <v>1.5</v>
      </c>
      <c r="F36"/>
      <c r="G36"/>
      <c r="H36"/>
      <c r="I36"/>
      <c r="J36" s="76" t="s">
        <v>65</v>
      </c>
      <c r="K36" s="44" t="s">
        <v>8</v>
      </c>
      <c r="L36" s="46" t="s">
        <v>158</v>
      </c>
      <c r="M36" s="48">
        <v>45299</v>
      </c>
      <c r="N36" s="76">
        <v>0</v>
      </c>
      <c r="O36"/>
      <c r="P36"/>
      <c r="Q36"/>
      <c r="R36"/>
      <c r="S36"/>
      <c r="T36" t="s">
        <v>289</v>
      </c>
      <c r="U36">
        <v>-1</v>
      </c>
      <c r="V36" s="16"/>
      <c r="W36" s="64">
        <v>21</v>
      </c>
      <c r="X36" s="16"/>
      <c r="Y36" s="16"/>
      <c r="Z36" s="16"/>
      <c r="AA36" s="16"/>
      <c r="AB36" s="16"/>
      <c r="AC36" s="16"/>
      <c r="AD36" s="16"/>
      <c r="AE36" s="16"/>
      <c r="AF36" s="16"/>
    </row>
    <row r="37" spans="1:32" ht="15" customHeight="1" x14ac:dyDescent="0.25">
      <c r="A37" s="46">
        <v>5</v>
      </c>
      <c r="B37" s="46">
        <v>8</v>
      </c>
      <c r="C37" s="46" t="s">
        <v>5</v>
      </c>
      <c r="D37" s="46" t="s">
        <v>6</v>
      </c>
      <c r="E37" s="44">
        <v>1</v>
      </c>
      <c r="F37" t="s">
        <v>240</v>
      </c>
      <c r="G37"/>
      <c r="H37"/>
      <c r="I37"/>
      <c r="J37" s="72" t="s">
        <v>15</v>
      </c>
      <c r="K37" s="44" t="s">
        <v>8</v>
      </c>
      <c r="L37" s="46"/>
      <c r="M37" s="48">
        <v>45299</v>
      </c>
      <c r="N37">
        <v>1</v>
      </c>
      <c r="O37"/>
      <c r="P37">
        <v>277</v>
      </c>
      <c r="Q37"/>
      <c r="R37"/>
      <c r="S37"/>
      <c r="T37" t="s">
        <v>289</v>
      </c>
      <c r="U37">
        <v>-1</v>
      </c>
      <c r="V37" s="16"/>
      <c r="W37" s="16">
        <v>22</v>
      </c>
      <c r="X37" s="16"/>
      <c r="Y37" s="16"/>
      <c r="Z37" s="16"/>
      <c r="AA37" s="16"/>
      <c r="AB37" s="16"/>
      <c r="AC37" s="16"/>
      <c r="AD37" s="16"/>
      <c r="AE37" s="16"/>
      <c r="AF37" s="16"/>
    </row>
    <row r="38" spans="1:32" ht="15" customHeight="1" x14ac:dyDescent="0.25">
      <c r="A38" s="46">
        <v>6</v>
      </c>
      <c r="B38" s="46">
        <v>9</v>
      </c>
      <c r="C38" s="46" t="s">
        <v>89</v>
      </c>
      <c r="D38" s="46" t="s">
        <v>93</v>
      </c>
      <c r="E38" s="44">
        <v>1</v>
      </c>
      <c r="F38" t="s">
        <v>184</v>
      </c>
      <c r="G38"/>
      <c r="H38"/>
      <c r="I38"/>
      <c r="J38" t="s">
        <v>21</v>
      </c>
      <c r="K38" s="44" t="s">
        <v>8</v>
      </c>
      <c r="L38" s="46"/>
      <c r="M38" s="48">
        <v>45300</v>
      </c>
      <c r="N38">
        <v>1</v>
      </c>
      <c r="O38" t="s">
        <v>253</v>
      </c>
      <c r="P38">
        <v>69</v>
      </c>
      <c r="Q38"/>
      <c r="R38"/>
      <c r="S38"/>
      <c r="T38" t="s">
        <v>289</v>
      </c>
      <c r="U38">
        <v>1</v>
      </c>
      <c r="V38" s="16"/>
      <c r="W38" s="16">
        <v>23</v>
      </c>
      <c r="X38" s="16"/>
      <c r="Y38" s="16"/>
      <c r="Z38" s="16"/>
      <c r="AA38" s="16"/>
      <c r="AB38" s="16"/>
      <c r="AC38" s="16"/>
      <c r="AD38" s="16"/>
      <c r="AE38" s="16"/>
      <c r="AF38" s="16"/>
    </row>
    <row r="39" spans="1:32" ht="15" customHeight="1" x14ac:dyDescent="0.25">
      <c r="A39" s="46">
        <v>7</v>
      </c>
      <c r="B39" s="46">
        <v>9</v>
      </c>
      <c r="C39" s="46" t="s">
        <v>93</v>
      </c>
      <c r="D39" s="46" t="s">
        <v>69</v>
      </c>
      <c r="E39" s="44">
        <v>1</v>
      </c>
      <c r="F39" t="s">
        <v>160</v>
      </c>
      <c r="G39" t="s">
        <v>162</v>
      </c>
      <c r="H39" t="s">
        <v>161</v>
      </c>
      <c r="I39"/>
      <c r="J39" s="72" t="s">
        <v>15</v>
      </c>
      <c r="K39" s="44" t="s">
        <v>8</v>
      </c>
      <c r="L39" s="46"/>
      <c r="M39" s="48">
        <v>45300</v>
      </c>
      <c r="N39">
        <v>3</v>
      </c>
      <c r="O39"/>
      <c r="P39">
        <v>47</v>
      </c>
      <c r="Q39">
        <v>195</v>
      </c>
      <c r="R39">
        <v>201</v>
      </c>
      <c r="S39"/>
      <c r="T39" t="s">
        <v>289</v>
      </c>
      <c r="U39">
        <v>-1</v>
      </c>
      <c r="V39" s="16"/>
      <c r="W39" s="64">
        <v>24</v>
      </c>
      <c r="X39" s="16"/>
      <c r="Y39" s="16"/>
      <c r="Z39" s="16"/>
      <c r="AA39" s="16"/>
      <c r="AB39" s="16"/>
      <c r="AC39" s="16"/>
      <c r="AD39" s="16"/>
      <c r="AE39" s="16"/>
      <c r="AF39" s="16"/>
    </row>
    <row r="40" spans="1:32" ht="15" customHeight="1" x14ac:dyDescent="0.25">
      <c r="A40" s="46">
        <v>8</v>
      </c>
      <c r="B40" s="46">
        <v>9</v>
      </c>
      <c r="C40" s="46" t="s">
        <v>24</v>
      </c>
      <c r="D40" s="46" t="s">
        <v>25</v>
      </c>
      <c r="E40" s="44">
        <v>1</v>
      </c>
      <c r="F40" t="s">
        <v>144</v>
      </c>
      <c r="G40"/>
      <c r="H40"/>
      <c r="I40"/>
      <c r="J40" s="72" t="s">
        <v>15</v>
      </c>
      <c r="K40" s="44" t="s">
        <v>8</v>
      </c>
      <c r="L40" s="46"/>
      <c r="M40" s="48">
        <v>45300</v>
      </c>
      <c r="N40">
        <v>1</v>
      </c>
      <c r="O40"/>
      <c r="P40">
        <v>81</v>
      </c>
      <c r="Q40"/>
      <c r="R40"/>
      <c r="S40"/>
      <c r="T40" t="s">
        <v>289</v>
      </c>
      <c r="U40">
        <v>-1</v>
      </c>
      <c r="V40" s="16"/>
      <c r="W40" s="16">
        <v>25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5" customHeight="1" x14ac:dyDescent="0.25">
      <c r="A41" s="46">
        <v>9</v>
      </c>
      <c r="B41" s="46">
        <v>9</v>
      </c>
      <c r="C41" s="46" t="s">
        <v>9</v>
      </c>
      <c r="D41" s="46" t="s">
        <v>5</v>
      </c>
      <c r="E41" s="44">
        <v>1.5</v>
      </c>
      <c r="F41"/>
      <c r="G41"/>
      <c r="H41"/>
      <c r="I41"/>
      <c r="J41" s="76" t="s">
        <v>65</v>
      </c>
      <c r="K41" s="44" t="s">
        <v>8</v>
      </c>
      <c r="L41" s="46" t="s">
        <v>221</v>
      </c>
      <c r="M41" s="48">
        <v>45300</v>
      </c>
      <c r="N41" s="76">
        <v>0</v>
      </c>
      <c r="O41"/>
      <c r="P41"/>
      <c r="Q41"/>
      <c r="R41"/>
      <c r="S41"/>
      <c r="T41" t="s">
        <v>289</v>
      </c>
      <c r="U41">
        <v>-1</v>
      </c>
      <c r="V41" s="16"/>
      <c r="W41" s="16">
        <v>26</v>
      </c>
      <c r="X41" s="16"/>
      <c r="Y41" s="16"/>
      <c r="Z41" s="16"/>
      <c r="AA41" s="16"/>
      <c r="AB41" s="16"/>
      <c r="AC41" s="16"/>
      <c r="AD41" s="16"/>
      <c r="AE41" s="16"/>
      <c r="AF41" s="16"/>
    </row>
    <row r="42" spans="1:32" ht="15" customHeight="1" x14ac:dyDescent="0.25">
      <c r="A42" s="46">
        <v>10</v>
      </c>
      <c r="B42" s="46">
        <v>10</v>
      </c>
      <c r="C42" s="46" t="s">
        <v>79</v>
      </c>
      <c r="D42" s="46" t="s">
        <v>85</v>
      </c>
      <c r="E42" s="44">
        <v>1</v>
      </c>
      <c r="F42" t="s">
        <v>145</v>
      </c>
      <c r="G42"/>
      <c r="H42"/>
      <c r="I42"/>
      <c r="J42" s="72" t="s">
        <v>15</v>
      </c>
      <c r="K42" s="44" t="s">
        <v>8</v>
      </c>
      <c r="L42" s="46"/>
      <c r="M42" s="48">
        <v>45301</v>
      </c>
      <c r="N42">
        <v>1</v>
      </c>
      <c r="O42"/>
      <c r="P42">
        <v>163</v>
      </c>
      <c r="Q42"/>
      <c r="R42"/>
      <c r="S42"/>
      <c r="T42" t="s">
        <v>289</v>
      </c>
      <c r="U42">
        <v>-1</v>
      </c>
      <c r="V42" s="16"/>
      <c r="W42" s="64">
        <v>27</v>
      </c>
      <c r="X42" s="16"/>
      <c r="Y42" s="16"/>
      <c r="Z42" s="16"/>
      <c r="AA42" s="16"/>
      <c r="AB42" s="16"/>
      <c r="AC42" s="16"/>
      <c r="AD42" s="16"/>
      <c r="AE42" s="16"/>
      <c r="AF42" s="16"/>
    </row>
    <row r="43" spans="1:32" ht="15" customHeight="1" x14ac:dyDescent="0.25">
      <c r="A43" s="46">
        <v>11</v>
      </c>
      <c r="B43" s="46">
        <v>10</v>
      </c>
      <c r="C43" s="46" t="s">
        <v>13</v>
      </c>
      <c r="D43" s="46" t="s">
        <v>24</v>
      </c>
      <c r="E43" s="44">
        <v>1</v>
      </c>
      <c r="F43" t="s">
        <v>170</v>
      </c>
      <c r="G43"/>
      <c r="H43"/>
      <c r="I43"/>
      <c r="J43" s="72" t="s">
        <v>15</v>
      </c>
      <c r="K43" s="44" t="s">
        <v>8</v>
      </c>
      <c r="L43" s="46"/>
      <c r="M43" s="48">
        <v>45301</v>
      </c>
      <c r="N43">
        <v>1</v>
      </c>
      <c r="O43"/>
      <c r="P43">
        <v>209</v>
      </c>
      <c r="Q43"/>
      <c r="R43"/>
      <c r="S43"/>
      <c r="T43" t="s">
        <v>289</v>
      </c>
      <c r="U43">
        <v>-1</v>
      </c>
      <c r="V43" s="16"/>
      <c r="W43" s="16">
        <v>28</v>
      </c>
      <c r="X43" s="16"/>
      <c r="Y43" s="16"/>
      <c r="Z43" s="16"/>
      <c r="AA43" s="16"/>
      <c r="AB43" s="16"/>
      <c r="AC43" s="16"/>
      <c r="AD43" s="16"/>
      <c r="AE43" s="16"/>
      <c r="AF43" s="16"/>
    </row>
    <row r="44" spans="1:32" ht="15" customHeight="1" x14ac:dyDescent="0.25">
      <c r="A44" s="46">
        <v>12</v>
      </c>
      <c r="B44" s="46">
        <v>10</v>
      </c>
      <c r="C44" s="46" t="s">
        <v>24</v>
      </c>
      <c r="D44" s="46" t="s">
        <v>25</v>
      </c>
      <c r="E44" s="44">
        <v>1</v>
      </c>
      <c r="F44" t="s">
        <v>183</v>
      </c>
      <c r="G44"/>
      <c r="H44"/>
      <c r="I44"/>
      <c r="J44" s="72" t="s">
        <v>15</v>
      </c>
      <c r="K44" s="44" t="s">
        <v>8</v>
      </c>
      <c r="L44" s="46"/>
      <c r="M44" s="48">
        <v>45301</v>
      </c>
      <c r="N44">
        <v>1</v>
      </c>
      <c r="O44"/>
      <c r="P44">
        <v>121</v>
      </c>
      <c r="Q44"/>
      <c r="R44"/>
      <c r="S44"/>
      <c r="T44" t="s">
        <v>289</v>
      </c>
      <c r="U44">
        <v>-1</v>
      </c>
      <c r="V44" s="16"/>
      <c r="W44" s="16">
        <v>29</v>
      </c>
      <c r="X44" s="16"/>
      <c r="Y44" s="16"/>
      <c r="Z44" s="16"/>
      <c r="AA44" s="16"/>
      <c r="AB44" s="16"/>
      <c r="AC44" s="16"/>
      <c r="AD44" s="16"/>
      <c r="AE44" s="16"/>
      <c r="AF44" s="16"/>
    </row>
    <row r="45" spans="1:32" ht="15" customHeight="1" x14ac:dyDescent="0.25">
      <c r="A45" s="46">
        <v>13</v>
      </c>
      <c r="B45" s="46">
        <v>10</v>
      </c>
      <c r="C45" s="46" t="s">
        <v>25</v>
      </c>
      <c r="D45" s="46" t="s">
        <v>19</v>
      </c>
      <c r="E45" s="44">
        <v>1</v>
      </c>
      <c r="F45" t="s">
        <v>180</v>
      </c>
      <c r="G45"/>
      <c r="H45"/>
      <c r="I45" t="s">
        <v>129</v>
      </c>
      <c r="J45" t="s">
        <v>21</v>
      </c>
      <c r="K45" s="44" t="s">
        <v>8</v>
      </c>
      <c r="L45" s="46"/>
      <c r="M45" s="48">
        <v>45301</v>
      </c>
      <c r="N45">
        <v>1</v>
      </c>
      <c r="O45" t="s">
        <v>253</v>
      </c>
      <c r="P45">
        <v>53</v>
      </c>
      <c r="Q45"/>
      <c r="R45"/>
      <c r="S45"/>
      <c r="T45" t="s">
        <v>289</v>
      </c>
      <c r="U45">
        <v>1</v>
      </c>
      <c r="V45" s="16"/>
      <c r="W45" s="64">
        <v>33</v>
      </c>
      <c r="X45" s="16"/>
      <c r="Y45" s="16"/>
      <c r="Z45" s="16"/>
      <c r="AA45" s="16"/>
      <c r="AB45" s="16"/>
      <c r="AC45" s="16"/>
      <c r="AD45" s="16"/>
      <c r="AE45" s="16"/>
      <c r="AF45" s="16"/>
    </row>
    <row r="46" spans="1:32" ht="15" customHeight="1" x14ac:dyDescent="0.25">
      <c r="A46" s="46">
        <v>14</v>
      </c>
      <c r="B46" s="46">
        <v>10</v>
      </c>
      <c r="C46" s="46" t="s">
        <v>5</v>
      </c>
      <c r="D46" s="46" t="s">
        <v>6</v>
      </c>
      <c r="E46" s="44">
        <v>1</v>
      </c>
      <c r="F46" t="s">
        <v>209</v>
      </c>
      <c r="G46" t="s">
        <v>210</v>
      </c>
      <c r="H46"/>
      <c r="I46"/>
      <c r="J46" t="s">
        <v>7</v>
      </c>
      <c r="K46" s="44" t="s">
        <v>8</v>
      </c>
      <c r="L46" s="46"/>
      <c r="M46" s="48">
        <v>45301</v>
      </c>
      <c r="N46">
        <v>2</v>
      </c>
      <c r="O46" t="s">
        <v>254</v>
      </c>
      <c r="P46">
        <v>241</v>
      </c>
      <c r="Q46">
        <v>137</v>
      </c>
      <c r="R46"/>
      <c r="S46"/>
      <c r="T46" t="s">
        <v>289</v>
      </c>
      <c r="U46">
        <v>1</v>
      </c>
      <c r="V46" s="16"/>
      <c r="W46" s="16">
        <v>40</v>
      </c>
      <c r="X46" s="16"/>
      <c r="Y46" s="16"/>
      <c r="Z46" s="16"/>
      <c r="AA46" s="16"/>
      <c r="AB46" s="16"/>
      <c r="AC46" s="16"/>
      <c r="AD46" s="16"/>
      <c r="AE46" s="16"/>
      <c r="AF46" s="16"/>
    </row>
    <row r="47" spans="1:32" ht="15" customHeight="1" x14ac:dyDescent="0.25">
      <c r="A47" s="46">
        <v>15</v>
      </c>
      <c r="B47" s="46">
        <v>11</v>
      </c>
      <c r="C47" s="46" t="s">
        <v>85</v>
      </c>
      <c r="D47" s="46" t="s">
        <v>72</v>
      </c>
      <c r="E47" s="44">
        <v>1</v>
      </c>
      <c r="F47" t="s">
        <v>163</v>
      </c>
      <c r="G47"/>
      <c r="H47"/>
      <c r="I47"/>
      <c r="J47" s="72" t="s">
        <v>15</v>
      </c>
      <c r="K47" s="44" t="s">
        <v>8</v>
      </c>
      <c r="L47" s="46"/>
      <c r="M47" s="48">
        <v>45302</v>
      </c>
      <c r="N47">
        <v>1</v>
      </c>
      <c r="O47"/>
      <c r="P47">
        <v>38</v>
      </c>
      <c r="Q47"/>
      <c r="R47"/>
      <c r="S47"/>
      <c r="T47" t="s">
        <v>289</v>
      </c>
      <c r="U47">
        <v>-1</v>
      </c>
      <c r="V47" s="16"/>
      <c r="W47" s="16">
        <v>41</v>
      </c>
      <c r="X47" s="16"/>
      <c r="Y47" s="16"/>
      <c r="Z47" s="16"/>
      <c r="AA47" s="16"/>
      <c r="AB47" s="16"/>
      <c r="AC47" s="16"/>
      <c r="AD47" s="16"/>
      <c r="AE47" s="16"/>
      <c r="AF47" s="16"/>
    </row>
    <row r="48" spans="1:32" ht="15" customHeight="1" x14ac:dyDescent="0.25">
      <c r="A48" s="46">
        <v>16</v>
      </c>
      <c r="B48" s="46">
        <v>11</v>
      </c>
      <c r="C48" s="46" t="s">
        <v>72</v>
      </c>
      <c r="D48" s="46" t="s">
        <v>69</v>
      </c>
      <c r="E48" s="44">
        <v>1.5</v>
      </c>
      <c r="F48"/>
      <c r="G48"/>
      <c r="H48"/>
      <c r="I48"/>
      <c r="J48" s="76" t="s">
        <v>65</v>
      </c>
      <c r="K48" s="44" t="s">
        <v>8</v>
      </c>
      <c r="L48" s="46" t="s">
        <v>164</v>
      </c>
      <c r="M48" s="48">
        <v>45302</v>
      </c>
      <c r="N48" s="76">
        <v>0</v>
      </c>
      <c r="O48"/>
      <c r="P48"/>
      <c r="Q48"/>
      <c r="R48"/>
      <c r="S48"/>
      <c r="T48" t="s">
        <v>289</v>
      </c>
      <c r="U48">
        <v>-1</v>
      </c>
      <c r="V48" s="16"/>
      <c r="W48" s="64">
        <v>42</v>
      </c>
      <c r="X48" s="16"/>
      <c r="Y48" s="16"/>
      <c r="Z48" s="16"/>
      <c r="AA48" s="16"/>
      <c r="AB48" s="16"/>
      <c r="AC48" s="16"/>
      <c r="AD48" s="16"/>
      <c r="AE48" s="16"/>
      <c r="AF48" s="16"/>
    </row>
    <row r="49" spans="1:32" ht="15" customHeight="1" x14ac:dyDescent="0.25">
      <c r="A49" s="46">
        <v>17</v>
      </c>
      <c r="B49" s="46">
        <v>11</v>
      </c>
      <c r="C49" s="46" t="s">
        <v>10</v>
      </c>
      <c r="D49" s="46" t="s">
        <v>6</v>
      </c>
      <c r="E49" s="44">
        <v>1.5</v>
      </c>
      <c r="F49"/>
      <c r="G49" t="s">
        <v>218</v>
      </c>
      <c r="H49" t="s">
        <v>154</v>
      </c>
      <c r="I49"/>
      <c r="J49" t="s">
        <v>7</v>
      </c>
      <c r="K49" s="44" t="s">
        <v>8</v>
      </c>
      <c r="L49" s="46"/>
      <c r="M49" s="48">
        <v>45302</v>
      </c>
      <c r="N49">
        <v>2</v>
      </c>
      <c r="O49" t="s">
        <v>255</v>
      </c>
      <c r="P49"/>
      <c r="Q49">
        <v>19</v>
      </c>
      <c r="R49">
        <v>154</v>
      </c>
      <c r="S49"/>
      <c r="T49" t="s">
        <v>289</v>
      </c>
      <c r="U49">
        <v>1</v>
      </c>
      <c r="V49" s="16"/>
      <c r="W49" s="16">
        <v>43</v>
      </c>
      <c r="X49" s="16"/>
      <c r="Y49" s="16"/>
      <c r="Z49" s="16"/>
      <c r="AA49" s="16"/>
      <c r="AB49" s="16"/>
      <c r="AC49" s="16"/>
      <c r="AD49" s="16"/>
      <c r="AE49" s="16"/>
      <c r="AF49" s="16"/>
    </row>
    <row r="50" spans="1:32" ht="15" customHeight="1" x14ac:dyDescent="0.25">
      <c r="A50" s="60">
        <v>18</v>
      </c>
      <c r="B50" s="60">
        <v>11</v>
      </c>
      <c r="C50" s="60" t="s">
        <v>11</v>
      </c>
      <c r="D50" s="60" t="s">
        <v>27</v>
      </c>
      <c r="E50" s="61">
        <v>1.5</v>
      </c>
      <c r="F50" s="76" t="s">
        <v>274</v>
      </c>
      <c r="G50"/>
      <c r="H50"/>
      <c r="I50" s="76" t="s">
        <v>158</v>
      </c>
      <c r="J50" s="76" t="s">
        <v>277</v>
      </c>
      <c r="K50" s="61" t="s">
        <v>8</v>
      </c>
      <c r="L50" s="60" t="s">
        <v>241</v>
      </c>
      <c r="M50"/>
      <c r="N50">
        <v>2</v>
      </c>
      <c r="O50"/>
      <c r="P50"/>
      <c r="Q50"/>
      <c r="R50"/>
      <c r="S50"/>
      <c r="T50" t="s">
        <v>289</v>
      </c>
      <c r="U50">
        <v>-1</v>
      </c>
      <c r="V50" s="16"/>
      <c r="W50" s="16">
        <v>44</v>
      </c>
      <c r="X50" s="16"/>
      <c r="Y50" s="16"/>
      <c r="Z50" s="16"/>
      <c r="AA50" s="16"/>
      <c r="AB50" s="16"/>
      <c r="AC50" s="16"/>
      <c r="AD50" s="16"/>
      <c r="AE50" s="16"/>
      <c r="AF50" s="16"/>
    </row>
    <row r="51" spans="1:32" ht="15" customHeight="1" x14ac:dyDescent="0.25">
      <c r="A51" s="67"/>
      <c r="B51" s="67">
        <v>11</v>
      </c>
      <c r="C51" s="67" t="s">
        <v>27</v>
      </c>
      <c r="D51" s="67" t="s">
        <v>12</v>
      </c>
      <c r="E51" s="66">
        <v>1.5</v>
      </c>
      <c r="F51" s="76" t="s">
        <v>266</v>
      </c>
      <c r="G51"/>
      <c r="H51"/>
      <c r="I51"/>
      <c r="J51" s="76" t="s">
        <v>277</v>
      </c>
      <c r="K51" s="61" t="s">
        <v>8</v>
      </c>
      <c r="L51" s="62" t="s">
        <v>276</v>
      </c>
      <c r="M51"/>
      <c r="N51">
        <v>1</v>
      </c>
      <c r="O51"/>
      <c r="P51"/>
      <c r="Q51"/>
      <c r="R51"/>
      <c r="S51"/>
      <c r="T51" t="s">
        <v>289</v>
      </c>
      <c r="U51">
        <v>-1</v>
      </c>
      <c r="V51" s="16"/>
      <c r="W51" s="64">
        <v>45</v>
      </c>
      <c r="X51" s="16"/>
      <c r="Y51" s="16"/>
      <c r="Z51" s="16"/>
      <c r="AA51" s="16"/>
      <c r="AB51" s="16"/>
      <c r="AC51" s="16"/>
      <c r="AD51" s="16"/>
      <c r="AE51" s="16"/>
      <c r="AF51" s="16"/>
    </row>
    <row r="52" spans="1:32" ht="15" customHeight="1" x14ac:dyDescent="0.25">
      <c r="A52" s="46">
        <v>20</v>
      </c>
      <c r="B52" s="46">
        <v>12</v>
      </c>
      <c r="C52" s="46" t="s">
        <v>13</v>
      </c>
      <c r="D52" s="46" t="s">
        <v>24</v>
      </c>
      <c r="E52" s="44">
        <v>1</v>
      </c>
      <c r="F52"/>
      <c r="G52" t="s">
        <v>177</v>
      </c>
      <c r="H52"/>
      <c r="I52"/>
      <c r="J52" s="72" t="s">
        <v>15</v>
      </c>
      <c r="K52" s="44" t="s">
        <v>8</v>
      </c>
      <c r="L52" s="46"/>
      <c r="M52" s="48">
        <v>45303</v>
      </c>
      <c r="N52">
        <v>1</v>
      </c>
      <c r="O52"/>
      <c r="P52"/>
      <c r="Q52">
        <v>212</v>
      </c>
      <c r="R52"/>
      <c r="S52"/>
      <c r="T52" t="s">
        <v>289</v>
      </c>
      <c r="U52">
        <v>-1</v>
      </c>
      <c r="V52" s="16"/>
      <c r="W52" s="16">
        <v>46</v>
      </c>
      <c r="X52" s="16"/>
      <c r="Y52" s="16"/>
      <c r="Z52" s="16"/>
      <c r="AA52" s="16"/>
      <c r="AB52" s="16"/>
      <c r="AC52" s="16"/>
      <c r="AD52" s="16"/>
      <c r="AE52" s="16"/>
      <c r="AF52" s="16"/>
    </row>
    <row r="53" spans="1:32" ht="15" customHeight="1" x14ac:dyDescent="0.25">
      <c r="A53" s="46">
        <v>21</v>
      </c>
      <c r="B53" s="46">
        <v>12</v>
      </c>
      <c r="C53" s="46" t="s">
        <v>24</v>
      </c>
      <c r="D53" s="46" t="s">
        <v>25</v>
      </c>
      <c r="E53" s="44">
        <v>1</v>
      </c>
      <c r="F53"/>
      <c r="G53" t="s">
        <v>192</v>
      </c>
      <c r="H53"/>
      <c r="I53"/>
      <c r="J53" s="72" t="s">
        <v>15</v>
      </c>
      <c r="K53" s="44" t="s">
        <v>8</v>
      </c>
      <c r="L53" s="46"/>
      <c r="M53" s="48">
        <v>45303</v>
      </c>
      <c r="N53">
        <v>1</v>
      </c>
      <c r="O53"/>
      <c r="P53"/>
      <c r="Q53">
        <v>122</v>
      </c>
      <c r="R53"/>
      <c r="S53"/>
      <c r="T53" t="s">
        <v>289</v>
      </c>
      <c r="U53">
        <v>-1</v>
      </c>
      <c r="V53" s="16"/>
      <c r="W53" s="16">
        <v>47</v>
      </c>
      <c r="X53" s="16"/>
      <c r="Y53" s="16"/>
      <c r="Z53" s="16"/>
      <c r="AA53" s="16"/>
      <c r="AB53" s="16"/>
      <c r="AC53" s="16"/>
      <c r="AD53" s="16"/>
      <c r="AE53" s="16"/>
      <c r="AF53" s="16"/>
    </row>
    <row r="54" spans="1:32" ht="15" customHeight="1" x14ac:dyDescent="0.25">
      <c r="A54" s="46">
        <v>22</v>
      </c>
      <c r="B54" s="46">
        <v>15</v>
      </c>
      <c r="C54" s="46" t="s">
        <v>85</v>
      </c>
      <c r="D54" s="46" t="s">
        <v>93</v>
      </c>
      <c r="E54" s="44">
        <v>1.5</v>
      </c>
      <c r="F54"/>
      <c r="G54"/>
      <c r="H54"/>
      <c r="I54"/>
      <c r="J54" s="76" t="s">
        <v>65</v>
      </c>
      <c r="K54" s="44" t="s">
        <v>8</v>
      </c>
      <c r="L54" s="46" t="s">
        <v>158</v>
      </c>
      <c r="M54" s="48">
        <v>45306</v>
      </c>
      <c r="N54" s="76">
        <v>0</v>
      </c>
      <c r="O54"/>
      <c r="P54"/>
      <c r="Q54"/>
      <c r="R54"/>
      <c r="S54"/>
      <c r="T54" t="s">
        <v>289</v>
      </c>
      <c r="U54">
        <v>-1</v>
      </c>
      <c r="V54" s="16"/>
      <c r="W54" s="64">
        <v>48</v>
      </c>
      <c r="X54" s="16"/>
      <c r="Y54" s="16"/>
      <c r="Z54" s="16"/>
      <c r="AA54" s="16"/>
      <c r="AB54" s="16"/>
      <c r="AC54" s="16"/>
      <c r="AD54" s="16"/>
      <c r="AE54" s="16"/>
      <c r="AF54" s="16"/>
    </row>
    <row r="55" spans="1:32" ht="15" customHeight="1" x14ac:dyDescent="0.25">
      <c r="A55" s="46">
        <v>23</v>
      </c>
      <c r="B55" s="46">
        <v>15</v>
      </c>
      <c r="C55" s="46" t="s">
        <v>93</v>
      </c>
      <c r="D55" s="46" t="s">
        <v>69</v>
      </c>
      <c r="E55" s="44">
        <v>1</v>
      </c>
      <c r="F55" t="s">
        <v>190</v>
      </c>
      <c r="G55"/>
      <c r="H55"/>
      <c r="I55"/>
      <c r="J55" s="72" t="s">
        <v>15</v>
      </c>
      <c r="K55" s="44" t="s">
        <v>8</v>
      </c>
      <c r="L55" s="46"/>
      <c r="M55" s="48">
        <v>45306</v>
      </c>
      <c r="N55">
        <v>1</v>
      </c>
      <c r="O55"/>
      <c r="P55">
        <v>174</v>
      </c>
      <c r="Q55"/>
      <c r="R55"/>
      <c r="S55"/>
      <c r="T55" t="s">
        <v>289</v>
      </c>
      <c r="U55">
        <v>-1</v>
      </c>
      <c r="V55" s="16"/>
      <c r="W55" s="16">
        <v>49</v>
      </c>
      <c r="X55" s="16"/>
      <c r="Y55" s="16"/>
      <c r="Z55" s="16"/>
      <c r="AA55" s="16"/>
      <c r="AB55" s="16"/>
      <c r="AC55" s="16"/>
      <c r="AD55" s="16"/>
      <c r="AE55" s="16"/>
      <c r="AF55" s="16"/>
    </row>
    <row r="56" spans="1:32" ht="15" customHeight="1" x14ac:dyDescent="0.25">
      <c r="A56" s="46">
        <v>24</v>
      </c>
      <c r="B56" s="46">
        <v>15</v>
      </c>
      <c r="C56" s="46" t="s">
        <v>9</v>
      </c>
      <c r="D56" s="46" t="s">
        <v>5</v>
      </c>
      <c r="E56" s="44">
        <v>1.5</v>
      </c>
      <c r="F56"/>
      <c r="G56"/>
      <c r="H56"/>
      <c r="I56"/>
      <c r="J56" s="76" t="s">
        <v>65</v>
      </c>
      <c r="K56" s="44" t="s">
        <v>8</v>
      </c>
      <c r="L56" s="46" t="s">
        <v>158</v>
      </c>
      <c r="M56" s="48">
        <v>45306</v>
      </c>
      <c r="N56" s="76">
        <v>0</v>
      </c>
      <c r="O56"/>
      <c r="P56"/>
      <c r="Q56"/>
      <c r="R56"/>
      <c r="S56"/>
      <c r="T56" t="s">
        <v>289</v>
      </c>
      <c r="U56">
        <v>-1</v>
      </c>
      <c r="V56" s="16"/>
      <c r="W56" s="16">
        <v>50</v>
      </c>
      <c r="X56" s="16"/>
      <c r="Y56" s="16"/>
      <c r="Z56" s="16"/>
      <c r="AA56" s="16"/>
      <c r="AB56" s="16"/>
      <c r="AC56" s="16"/>
      <c r="AD56" s="16"/>
      <c r="AE56" s="16"/>
      <c r="AF56" s="16"/>
    </row>
    <row r="57" spans="1:32" ht="15" customHeight="1" x14ac:dyDescent="0.25">
      <c r="A57" s="46">
        <v>25</v>
      </c>
      <c r="B57" s="46">
        <v>16</v>
      </c>
      <c r="C57" s="46" t="s">
        <v>89</v>
      </c>
      <c r="D57" s="46" t="s">
        <v>93</v>
      </c>
      <c r="E57" s="44">
        <v>1</v>
      </c>
      <c r="F57" t="s">
        <v>160</v>
      </c>
      <c r="G57" t="s">
        <v>162</v>
      </c>
      <c r="H57" t="s">
        <v>161</v>
      </c>
      <c r="I57"/>
      <c r="J57" s="72" t="s">
        <v>15</v>
      </c>
      <c r="K57" s="44" t="s">
        <v>8</v>
      </c>
      <c r="L57" s="46"/>
      <c r="M57" s="48">
        <v>45307</v>
      </c>
      <c r="N57">
        <v>3</v>
      </c>
      <c r="O57"/>
      <c r="P57">
        <v>47</v>
      </c>
      <c r="Q57">
        <v>195</v>
      </c>
      <c r="R57">
        <v>201</v>
      </c>
      <c r="S57"/>
      <c r="T57" t="s">
        <v>289</v>
      </c>
      <c r="U57">
        <v>-1</v>
      </c>
      <c r="V57" s="16"/>
      <c r="W57" s="64">
        <v>51</v>
      </c>
      <c r="X57" s="16"/>
      <c r="Y57" s="16"/>
      <c r="Z57" s="16"/>
      <c r="AA57" s="16"/>
      <c r="AB57" s="16"/>
      <c r="AC57" s="16"/>
      <c r="AD57" s="16"/>
      <c r="AE57" s="16"/>
      <c r="AF57" s="16"/>
    </row>
    <row r="58" spans="1:32" ht="15" customHeight="1" x14ac:dyDescent="0.25">
      <c r="A58" s="46">
        <v>26</v>
      </c>
      <c r="B58" s="46">
        <v>16</v>
      </c>
      <c r="C58" s="46" t="s">
        <v>19</v>
      </c>
      <c r="D58" s="46" t="s">
        <v>20</v>
      </c>
      <c r="E58" s="44">
        <v>3</v>
      </c>
      <c r="F58"/>
      <c r="G58"/>
      <c r="H58"/>
      <c r="I58"/>
      <c r="J58" t="s">
        <v>18</v>
      </c>
      <c r="K58" s="44" t="s">
        <v>8</v>
      </c>
      <c r="L58" s="46" t="s">
        <v>158</v>
      </c>
      <c r="M58" s="48">
        <v>45307</v>
      </c>
      <c r="N58">
        <v>0</v>
      </c>
      <c r="O58" t="s">
        <v>256</v>
      </c>
      <c r="P58"/>
      <c r="Q58"/>
      <c r="R58"/>
      <c r="S58"/>
      <c r="T58" t="s">
        <v>289</v>
      </c>
      <c r="U58"/>
      <c r="V58" s="16"/>
      <c r="W58" s="16">
        <v>52</v>
      </c>
      <c r="X58" s="16"/>
      <c r="Y58" s="16"/>
      <c r="Z58" s="16"/>
      <c r="AA58" s="16"/>
      <c r="AB58" s="16"/>
      <c r="AC58" s="16"/>
      <c r="AD58" s="16"/>
      <c r="AE58" s="16"/>
      <c r="AF58" s="16"/>
    </row>
    <row r="59" spans="1:32" ht="15" customHeight="1" x14ac:dyDescent="0.25">
      <c r="A59" s="46">
        <v>27</v>
      </c>
      <c r="B59" s="46">
        <v>17</v>
      </c>
      <c r="C59" s="46" t="s">
        <v>79</v>
      </c>
      <c r="D59" s="46" t="s">
        <v>85</v>
      </c>
      <c r="E59" s="44">
        <v>1</v>
      </c>
      <c r="F59" t="s">
        <v>145</v>
      </c>
      <c r="G59"/>
      <c r="H59"/>
      <c r="I59"/>
      <c r="J59" s="72" t="s">
        <v>15</v>
      </c>
      <c r="K59" s="44" t="s">
        <v>8</v>
      </c>
      <c r="L59" s="46"/>
      <c r="M59" s="48">
        <v>45308</v>
      </c>
      <c r="N59">
        <v>1</v>
      </c>
      <c r="O59"/>
      <c r="P59">
        <v>163</v>
      </c>
      <c r="Q59"/>
      <c r="R59"/>
      <c r="S59"/>
      <c r="T59" t="s">
        <v>289</v>
      </c>
      <c r="U59">
        <v>-1</v>
      </c>
      <c r="V59" s="16"/>
      <c r="W59" s="16">
        <v>53</v>
      </c>
      <c r="X59" s="16"/>
      <c r="Y59" s="16"/>
      <c r="Z59" s="16"/>
      <c r="AA59" s="16"/>
      <c r="AB59" s="16"/>
      <c r="AC59" s="16"/>
      <c r="AD59" s="16"/>
      <c r="AE59" s="16"/>
      <c r="AF59" s="16"/>
    </row>
    <row r="60" spans="1:32" ht="15" customHeight="1" x14ac:dyDescent="0.25">
      <c r="A60" s="46">
        <v>27</v>
      </c>
      <c r="B60" s="46">
        <v>17</v>
      </c>
      <c r="C60" s="46" t="s">
        <v>79</v>
      </c>
      <c r="D60" s="46">
        <v>0.4375</v>
      </c>
      <c r="E60" s="44">
        <v>1</v>
      </c>
      <c r="F60" t="s">
        <v>145</v>
      </c>
      <c r="G60"/>
      <c r="H60"/>
      <c r="I60"/>
      <c r="J60" s="72" t="s">
        <v>15</v>
      </c>
      <c r="K60" s="44" t="s">
        <v>8</v>
      </c>
      <c r="L60" s="46"/>
      <c r="M60" s="48">
        <v>45308</v>
      </c>
      <c r="N60">
        <v>1</v>
      </c>
      <c r="O60"/>
      <c r="P60">
        <v>163</v>
      </c>
      <c r="Q60"/>
      <c r="R60"/>
      <c r="S60"/>
      <c r="T60" t="s">
        <v>289</v>
      </c>
      <c r="U60">
        <v>-1</v>
      </c>
      <c r="V60" s="16"/>
      <c r="W60" s="64">
        <v>54</v>
      </c>
      <c r="X60" s="16"/>
      <c r="Y60" s="16"/>
      <c r="Z60" s="16"/>
      <c r="AA60" s="16"/>
      <c r="AB60" s="16"/>
      <c r="AC60" s="16"/>
      <c r="AD60" s="16"/>
      <c r="AE60" s="16"/>
      <c r="AF60" s="16"/>
    </row>
    <row r="61" spans="1:32" ht="15" customHeight="1" x14ac:dyDescent="0.25">
      <c r="A61" s="46">
        <v>28</v>
      </c>
      <c r="B61" s="46">
        <v>17</v>
      </c>
      <c r="C61" s="46" t="s">
        <v>85</v>
      </c>
      <c r="D61" s="46" t="s">
        <v>72</v>
      </c>
      <c r="E61" s="44">
        <v>1</v>
      </c>
      <c r="F61"/>
      <c r="G61"/>
      <c r="H61" t="s">
        <v>172</v>
      </c>
      <c r="I61"/>
      <c r="J61" s="72" t="s">
        <v>15</v>
      </c>
      <c r="K61" s="44" t="s">
        <v>8</v>
      </c>
      <c r="L61" s="46"/>
      <c r="M61" s="48">
        <v>45308</v>
      </c>
      <c r="N61">
        <v>1</v>
      </c>
      <c r="O61"/>
      <c r="P61"/>
      <c r="Q61"/>
      <c r="R61">
        <v>251</v>
      </c>
      <c r="S61"/>
      <c r="T61" t="s">
        <v>289</v>
      </c>
      <c r="U61">
        <v>-1</v>
      </c>
      <c r="V61" s="16"/>
      <c r="W61" s="16">
        <v>55</v>
      </c>
      <c r="X61" s="16"/>
      <c r="Y61" s="16"/>
      <c r="Z61" s="16"/>
      <c r="AA61" s="16"/>
      <c r="AB61" s="16"/>
      <c r="AC61" s="16"/>
      <c r="AD61" s="16"/>
      <c r="AE61" s="16"/>
      <c r="AF61" s="16"/>
    </row>
    <row r="62" spans="1:32" ht="15" customHeight="1" x14ac:dyDescent="0.25">
      <c r="A62" s="46">
        <v>29</v>
      </c>
      <c r="B62" s="46">
        <v>17</v>
      </c>
      <c r="C62" s="46" t="s">
        <v>24</v>
      </c>
      <c r="D62" s="46" t="s">
        <v>25</v>
      </c>
      <c r="E62" s="44">
        <v>1</v>
      </c>
      <c r="F62"/>
      <c r="G62"/>
      <c r="H62" t="s">
        <v>183</v>
      </c>
      <c r="I62"/>
      <c r="J62" s="72" t="s">
        <v>15</v>
      </c>
      <c r="K62" s="44" t="s">
        <v>8</v>
      </c>
      <c r="L62" s="46"/>
      <c r="M62" s="48">
        <v>45308</v>
      </c>
      <c r="N62">
        <v>1</v>
      </c>
      <c r="O62"/>
      <c r="P62"/>
      <c r="Q62"/>
      <c r="R62">
        <v>121</v>
      </c>
      <c r="S62"/>
      <c r="T62" t="s">
        <v>289</v>
      </c>
      <c r="U62">
        <v>-1</v>
      </c>
      <c r="V62" s="16"/>
      <c r="W62" s="16">
        <v>56</v>
      </c>
      <c r="X62" s="16"/>
      <c r="Y62" s="16"/>
      <c r="Z62" s="16"/>
      <c r="AA62" s="16"/>
      <c r="AB62" s="16"/>
      <c r="AC62" s="16"/>
      <c r="AD62" s="16"/>
      <c r="AE62" s="16"/>
      <c r="AF62" s="16"/>
    </row>
    <row r="63" spans="1:32" ht="15" customHeight="1" x14ac:dyDescent="0.25">
      <c r="A63" s="68">
        <v>30</v>
      </c>
      <c r="B63" s="68">
        <v>17</v>
      </c>
      <c r="C63" s="68" t="s">
        <v>19</v>
      </c>
      <c r="D63" s="68" t="s">
        <v>9</v>
      </c>
      <c r="E63" s="69">
        <v>1</v>
      </c>
      <c r="F63" s="76" t="s">
        <v>271</v>
      </c>
      <c r="G63"/>
      <c r="H63"/>
      <c r="I63"/>
      <c r="J63" s="72" t="s">
        <v>15</v>
      </c>
      <c r="K63" s="63" t="s">
        <v>8</v>
      </c>
      <c r="L63" s="59" t="s">
        <v>271</v>
      </c>
      <c r="M63" s="48">
        <v>45308</v>
      </c>
      <c r="N63">
        <v>1</v>
      </c>
      <c r="O63"/>
      <c r="P63"/>
      <c r="Q63"/>
      <c r="R63"/>
      <c r="S63"/>
      <c r="T63" t="s">
        <v>289</v>
      </c>
      <c r="U63">
        <v>-1</v>
      </c>
      <c r="V63" s="16"/>
      <c r="W63" s="64">
        <v>57</v>
      </c>
      <c r="X63" s="16"/>
      <c r="Y63" s="16"/>
      <c r="Z63" s="16"/>
      <c r="AA63" s="16"/>
      <c r="AB63" s="16"/>
      <c r="AC63" s="16"/>
      <c r="AD63" s="16"/>
      <c r="AE63" s="16"/>
      <c r="AF63" s="16"/>
    </row>
    <row r="64" spans="1:32" ht="15" customHeight="1" x14ac:dyDescent="0.25">
      <c r="A64" s="46">
        <v>31</v>
      </c>
      <c r="B64" s="46">
        <v>17</v>
      </c>
      <c r="C64" s="46" t="s">
        <v>5</v>
      </c>
      <c r="D64" s="46" t="s">
        <v>6</v>
      </c>
      <c r="E64" s="44">
        <v>1</v>
      </c>
      <c r="F64"/>
      <c r="G64" t="s">
        <v>210</v>
      </c>
      <c r="H64" t="s">
        <v>209</v>
      </c>
      <c r="I64"/>
      <c r="J64" t="s">
        <v>7</v>
      </c>
      <c r="K64" s="44" t="s">
        <v>8</v>
      </c>
      <c r="L64" s="46"/>
      <c r="M64" s="48">
        <v>45308</v>
      </c>
      <c r="N64">
        <v>2</v>
      </c>
      <c r="O64" t="s">
        <v>254</v>
      </c>
      <c r="P64"/>
      <c r="Q64">
        <v>137</v>
      </c>
      <c r="R64">
        <v>241</v>
      </c>
      <c r="S64"/>
      <c r="T64" t="s">
        <v>289</v>
      </c>
      <c r="U64">
        <v>1</v>
      </c>
      <c r="V64" s="16"/>
      <c r="W64" s="16">
        <v>58</v>
      </c>
      <c r="X64" s="16"/>
      <c r="Y64" s="16"/>
      <c r="Z64" s="16"/>
      <c r="AA64" s="16"/>
      <c r="AB64" s="16"/>
      <c r="AC64" s="16"/>
      <c r="AD64" s="16"/>
      <c r="AE64" s="16"/>
      <c r="AF64" s="16"/>
    </row>
    <row r="65" spans="1:32" ht="15" customHeight="1" x14ac:dyDescent="0.25">
      <c r="A65" s="46">
        <v>32</v>
      </c>
      <c r="B65" s="46">
        <v>17</v>
      </c>
      <c r="C65" s="46" t="s">
        <v>6</v>
      </c>
      <c r="D65" s="46" t="s">
        <v>16</v>
      </c>
      <c r="E65" s="44">
        <v>1.5</v>
      </c>
      <c r="F65" t="s">
        <v>211</v>
      </c>
      <c r="G65" t="s">
        <v>212</v>
      </c>
      <c r="H65" t="s">
        <v>213</v>
      </c>
      <c r="I65" t="s">
        <v>242</v>
      </c>
      <c r="J65" t="s">
        <v>7</v>
      </c>
      <c r="K65" s="44" t="s">
        <v>8</v>
      </c>
      <c r="L65" s="46"/>
      <c r="M65" s="48">
        <v>45308</v>
      </c>
      <c r="N65">
        <v>4</v>
      </c>
      <c r="O65" t="s">
        <v>257</v>
      </c>
      <c r="P65">
        <v>45</v>
      </c>
      <c r="Q65">
        <v>14</v>
      </c>
      <c r="R65">
        <v>20</v>
      </c>
      <c r="S65">
        <v>151</v>
      </c>
      <c r="T65" t="s">
        <v>289</v>
      </c>
      <c r="U65">
        <v>1</v>
      </c>
      <c r="V65" s="16"/>
      <c r="W65" s="16">
        <v>59</v>
      </c>
      <c r="X65" s="16"/>
      <c r="Y65" s="16"/>
      <c r="Z65" s="16"/>
      <c r="AA65" s="16"/>
      <c r="AB65" s="16"/>
      <c r="AC65" s="16"/>
      <c r="AD65" s="16"/>
      <c r="AE65" s="16"/>
      <c r="AF65" s="16"/>
    </row>
    <row r="66" spans="1:32" ht="15" customHeight="1" x14ac:dyDescent="0.25">
      <c r="A66" s="46">
        <v>33</v>
      </c>
      <c r="B66" s="46">
        <v>17</v>
      </c>
      <c r="C66" s="46" t="s">
        <v>16</v>
      </c>
      <c r="D66" s="46" t="s">
        <v>68</v>
      </c>
      <c r="E66" s="44">
        <v>1.5</v>
      </c>
      <c r="F66" t="s">
        <v>214</v>
      </c>
      <c r="G66" t="s">
        <v>216</v>
      </c>
      <c r="H66" t="s">
        <v>215</v>
      </c>
      <c r="I66" t="s">
        <v>217</v>
      </c>
      <c r="J66" t="s">
        <v>7</v>
      </c>
      <c r="K66" s="44" t="s">
        <v>8</v>
      </c>
      <c r="L66" s="46"/>
      <c r="M66" s="48">
        <v>45308</v>
      </c>
      <c r="N66">
        <v>4</v>
      </c>
      <c r="O66" t="s">
        <v>257</v>
      </c>
      <c r="P66">
        <v>124</v>
      </c>
      <c r="Q66">
        <v>60</v>
      </c>
      <c r="R66">
        <v>101</v>
      </c>
      <c r="S66">
        <v>147</v>
      </c>
      <c r="T66" t="s">
        <v>289</v>
      </c>
      <c r="U66">
        <v>1</v>
      </c>
      <c r="V66" s="16"/>
      <c r="W66" s="64">
        <v>60</v>
      </c>
      <c r="X66" s="16"/>
      <c r="Y66" s="16"/>
      <c r="Z66" s="16"/>
      <c r="AA66" s="16"/>
      <c r="AB66" s="16"/>
      <c r="AC66" s="16"/>
      <c r="AD66" s="16"/>
      <c r="AE66" s="16"/>
      <c r="AF66" s="16"/>
    </row>
    <row r="67" spans="1:32" ht="15" customHeight="1" x14ac:dyDescent="0.25">
      <c r="A67" s="46">
        <v>34</v>
      </c>
      <c r="B67" s="46">
        <v>18</v>
      </c>
      <c r="C67" s="46" t="s">
        <v>85</v>
      </c>
      <c r="D67" s="46" t="s">
        <v>72</v>
      </c>
      <c r="E67" s="44">
        <v>1</v>
      </c>
      <c r="F67" t="s">
        <v>163</v>
      </c>
      <c r="G67"/>
      <c r="H67"/>
      <c r="I67"/>
      <c r="J67" s="72" t="s">
        <v>15</v>
      </c>
      <c r="K67" s="44" t="s">
        <v>8</v>
      </c>
      <c r="L67" s="46"/>
      <c r="M67" s="48">
        <v>45309</v>
      </c>
      <c r="N67">
        <v>1</v>
      </c>
      <c r="O67"/>
      <c r="P67">
        <v>38</v>
      </c>
      <c r="Q67"/>
      <c r="R67"/>
      <c r="S67"/>
      <c r="T67" t="s">
        <v>289</v>
      </c>
      <c r="U67">
        <v>-1</v>
      </c>
      <c r="V67" s="16"/>
      <c r="W67" s="16">
        <v>61</v>
      </c>
      <c r="X67" s="16"/>
      <c r="Y67" s="16"/>
      <c r="Z67" s="16"/>
      <c r="AA67" s="16"/>
      <c r="AB67" s="16"/>
      <c r="AC67" s="16"/>
      <c r="AD67" s="16"/>
      <c r="AE67" s="16"/>
      <c r="AF67" s="16"/>
    </row>
    <row r="68" spans="1:32" ht="15" customHeight="1" x14ac:dyDescent="0.25">
      <c r="A68" s="46">
        <v>35</v>
      </c>
      <c r="B68" s="46">
        <v>18</v>
      </c>
      <c r="C68" s="46" t="s">
        <v>72</v>
      </c>
      <c r="D68" s="46" t="s">
        <v>69</v>
      </c>
      <c r="E68" s="44">
        <v>1.5</v>
      </c>
      <c r="F68" t="s">
        <v>243</v>
      </c>
      <c r="G68" t="s">
        <v>140</v>
      </c>
      <c r="H68"/>
      <c r="I68"/>
      <c r="J68" s="76" t="s">
        <v>65</v>
      </c>
      <c r="K68" s="44" t="s">
        <v>8</v>
      </c>
      <c r="L68" s="46"/>
      <c r="M68" s="48">
        <v>45309</v>
      </c>
      <c r="N68">
        <v>2</v>
      </c>
      <c r="O68"/>
      <c r="P68">
        <v>39</v>
      </c>
      <c r="Q68">
        <v>57</v>
      </c>
      <c r="R68"/>
      <c r="S68"/>
      <c r="T68" t="s">
        <v>289</v>
      </c>
      <c r="U68">
        <v>-1</v>
      </c>
      <c r="V68" s="16"/>
      <c r="W68" s="16">
        <v>62</v>
      </c>
      <c r="X68" s="16"/>
      <c r="Y68" s="16"/>
      <c r="Z68" s="16"/>
      <c r="AA68" s="16"/>
      <c r="AB68" s="16"/>
      <c r="AC68" s="16"/>
      <c r="AD68" s="16"/>
      <c r="AE68" s="16"/>
      <c r="AF68" s="16"/>
    </row>
    <row r="69" spans="1:32" ht="15" customHeight="1" x14ac:dyDescent="0.25">
      <c r="A69" s="46">
        <v>36</v>
      </c>
      <c r="B69" s="46">
        <v>18</v>
      </c>
      <c r="C69" s="46" t="s">
        <v>69</v>
      </c>
      <c r="D69" s="46" t="s">
        <v>14</v>
      </c>
      <c r="E69" s="44">
        <v>1</v>
      </c>
      <c r="F69" t="s">
        <v>186</v>
      </c>
      <c r="G69"/>
      <c r="H69"/>
      <c r="I69"/>
      <c r="J69" t="s">
        <v>21</v>
      </c>
      <c r="K69" s="44" t="s">
        <v>8</v>
      </c>
      <c r="L69" s="46"/>
      <c r="M69" s="48">
        <v>45309</v>
      </c>
      <c r="N69">
        <v>1</v>
      </c>
      <c r="O69" t="s">
        <v>253</v>
      </c>
      <c r="P69">
        <v>130</v>
      </c>
      <c r="Q69"/>
      <c r="R69"/>
      <c r="S69"/>
      <c r="T69" t="s">
        <v>289</v>
      </c>
      <c r="U69">
        <v>1</v>
      </c>
      <c r="V69" s="16"/>
      <c r="W69" s="64">
        <v>66</v>
      </c>
      <c r="X69" s="16"/>
      <c r="Y69" s="16"/>
      <c r="Z69" s="16"/>
      <c r="AA69" s="16"/>
      <c r="AB69" s="16"/>
      <c r="AC69" s="16"/>
      <c r="AD69" s="16"/>
      <c r="AE69" s="16"/>
      <c r="AF69" s="16"/>
    </row>
    <row r="70" spans="1:32" ht="15" customHeight="1" x14ac:dyDescent="0.25">
      <c r="A70" s="46">
        <v>37</v>
      </c>
      <c r="B70" s="46">
        <v>18</v>
      </c>
      <c r="C70" s="46" t="s">
        <v>26</v>
      </c>
      <c r="D70" s="46" t="s">
        <v>70</v>
      </c>
      <c r="E70" s="44">
        <v>1</v>
      </c>
      <c r="F70" s="76" t="s">
        <v>225</v>
      </c>
      <c r="G70"/>
      <c r="H70"/>
      <c r="I70"/>
      <c r="J70" s="72" t="s">
        <v>15</v>
      </c>
      <c r="K70" s="44" t="s">
        <v>8</v>
      </c>
      <c r="L70" s="46"/>
      <c r="M70" s="48">
        <v>45309</v>
      </c>
      <c r="N70">
        <v>1</v>
      </c>
      <c r="O70"/>
      <c r="P70"/>
      <c r="Q70"/>
      <c r="R70"/>
      <c r="S70"/>
      <c r="T70" t="s">
        <v>289</v>
      </c>
      <c r="U70">
        <v>-1</v>
      </c>
      <c r="V70" s="16"/>
      <c r="W70" s="16">
        <v>67</v>
      </c>
      <c r="X70" s="16"/>
      <c r="Y70" s="16"/>
      <c r="Z70" s="16"/>
      <c r="AA70" s="16"/>
      <c r="AB70" s="16"/>
      <c r="AC70" s="16"/>
      <c r="AD70" s="16"/>
      <c r="AE70" s="16"/>
      <c r="AF70" s="16"/>
    </row>
    <row r="71" spans="1:32" ht="15" customHeight="1" x14ac:dyDescent="0.25">
      <c r="A71" s="46">
        <v>38</v>
      </c>
      <c r="B71" s="46">
        <v>18</v>
      </c>
      <c r="C71" s="46" t="s">
        <v>10</v>
      </c>
      <c r="D71" s="46" t="s">
        <v>6</v>
      </c>
      <c r="E71" s="44">
        <v>1.5</v>
      </c>
      <c r="F71" t="s">
        <v>154</v>
      </c>
      <c r="G71" t="s">
        <v>218</v>
      </c>
      <c r="H71"/>
      <c r="I71"/>
      <c r="J71" t="s">
        <v>7</v>
      </c>
      <c r="K71" s="44" t="s">
        <v>8</v>
      </c>
      <c r="L71" s="46"/>
      <c r="M71" s="48">
        <v>45309</v>
      </c>
      <c r="N71">
        <v>2</v>
      </c>
      <c r="O71" t="s">
        <v>255</v>
      </c>
      <c r="P71">
        <v>154</v>
      </c>
      <c r="Q71">
        <v>19</v>
      </c>
      <c r="R71"/>
      <c r="S71"/>
      <c r="T71" t="s">
        <v>289</v>
      </c>
      <c r="U71">
        <v>1</v>
      </c>
      <c r="V71" s="16"/>
      <c r="W71" s="16">
        <v>68</v>
      </c>
      <c r="X71" s="16"/>
      <c r="Y71" s="16"/>
      <c r="Z71" s="16"/>
      <c r="AA71" s="16"/>
      <c r="AB71" s="16"/>
      <c r="AC71" s="16"/>
      <c r="AD71" s="16"/>
      <c r="AE71" s="16"/>
      <c r="AF71" s="16"/>
    </row>
    <row r="72" spans="1:32" ht="15" customHeight="1" x14ac:dyDescent="0.25">
      <c r="A72" s="46">
        <v>39</v>
      </c>
      <c r="B72" s="46">
        <v>19</v>
      </c>
      <c r="C72" s="46" t="s">
        <v>121</v>
      </c>
      <c r="D72" s="46" t="s">
        <v>79</v>
      </c>
      <c r="E72" s="44">
        <v>1</v>
      </c>
      <c r="F72" t="s">
        <v>183</v>
      </c>
      <c r="G72"/>
      <c r="H72"/>
      <c r="I72"/>
      <c r="J72" s="72" t="s">
        <v>15</v>
      </c>
      <c r="K72" s="44" t="s">
        <v>8</v>
      </c>
      <c r="L72" s="46"/>
      <c r="M72" s="48">
        <v>45310</v>
      </c>
      <c r="N72">
        <v>1</v>
      </c>
      <c r="O72"/>
      <c r="P72">
        <v>121</v>
      </c>
      <c r="Q72"/>
      <c r="R72"/>
      <c r="S72"/>
      <c r="T72" t="s">
        <v>289</v>
      </c>
      <c r="U72">
        <v>-1</v>
      </c>
      <c r="V72" s="16"/>
      <c r="W72" s="64">
        <v>69</v>
      </c>
      <c r="X72" s="16"/>
      <c r="Y72" s="16"/>
      <c r="Z72" s="16"/>
      <c r="AA72" s="16"/>
      <c r="AB72" s="16"/>
      <c r="AC72" s="16"/>
      <c r="AD72" s="16"/>
      <c r="AE72" s="16"/>
      <c r="AF72" s="16"/>
    </row>
    <row r="73" spans="1:32" ht="15" customHeight="1" x14ac:dyDescent="0.25">
      <c r="A73" s="46">
        <v>40</v>
      </c>
      <c r="B73" s="46">
        <v>19</v>
      </c>
      <c r="C73" s="46" t="s">
        <v>85</v>
      </c>
      <c r="D73" s="46" t="s">
        <v>72</v>
      </c>
      <c r="E73" s="44">
        <v>1</v>
      </c>
      <c r="F73"/>
      <c r="G73" t="s">
        <v>177</v>
      </c>
      <c r="H73"/>
      <c r="I73"/>
      <c r="J73" t="s">
        <v>21</v>
      </c>
      <c r="K73" s="44" t="s">
        <v>8</v>
      </c>
      <c r="L73" s="46"/>
      <c r="M73" s="48">
        <v>45310</v>
      </c>
      <c r="N73">
        <v>1</v>
      </c>
      <c r="O73" t="s">
        <v>253</v>
      </c>
      <c r="P73"/>
      <c r="Q73">
        <v>212</v>
      </c>
      <c r="R73"/>
      <c r="S73"/>
      <c r="T73" t="s">
        <v>289</v>
      </c>
      <c r="U73">
        <v>1</v>
      </c>
      <c r="V73" s="16"/>
      <c r="W73" s="16">
        <v>70</v>
      </c>
      <c r="X73" s="16"/>
      <c r="Y73" s="16"/>
      <c r="Z73" s="16"/>
      <c r="AA73" s="16"/>
      <c r="AB73" s="16"/>
      <c r="AC73" s="16"/>
      <c r="AD73" s="16"/>
      <c r="AE73" s="16"/>
      <c r="AF73" s="16"/>
    </row>
    <row r="74" spans="1:32" ht="15" customHeight="1" x14ac:dyDescent="0.25">
      <c r="A74" s="60">
        <v>41</v>
      </c>
      <c r="B74" s="60">
        <v>22</v>
      </c>
      <c r="C74" s="60" t="s">
        <v>85</v>
      </c>
      <c r="D74" s="60" t="s">
        <v>93</v>
      </c>
      <c r="E74" s="61">
        <v>1.5</v>
      </c>
      <c r="F74" s="76" t="s">
        <v>274</v>
      </c>
      <c r="G74"/>
      <c r="H74"/>
      <c r="I74"/>
      <c r="J74" s="76" t="s">
        <v>282</v>
      </c>
      <c r="K74" s="61" t="s">
        <v>8</v>
      </c>
      <c r="L74" s="60" t="s">
        <v>244</v>
      </c>
      <c r="M74"/>
      <c r="N74">
        <v>1</v>
      </c>
      <c r="O74"/>
      <c r="P74"/>
      <c r="Q74"/>
      <c r="R74"/>
      <c r="S74"/>
      <c r="T74" t="s">
        <v>289</v>
      </c>
      <c r="U74">
        <v>-1</v>
      </c>
      <c r="V74" s="16"/>
      <c r="W74" s="16">
        <v>71</v>
      </c>
      <c r="X74" s="16"/>
      <c r="Y74" s="16"/>
      <c r="Z74" s="16"/>
      <c r="AA74" s="16"/>
      <c r="AB74" s="16"/>
      <c r="AC74" s="16"/>
      <c r="AD74" s="16"/>
      <c r="AE74" s="16"/>
      <c r="AF74" s="16"/>
    </row>
    <row r="75" spans="1:32" ht="15" customHeight="1" x14ac:dyDescent="0.25">
      <c r="A75" s="46">
        <v>42</v>
      </c>
      <c r="B75" s="46">
        <v>22</v>
      </c>
      <c r="C75" s="46" t="s">
        <v>69</v>
      </c>
      <c r="D75" s="46" t="s">
        <v>14</v>
      </c>
      <c r="E75" s="44">
        <v>1</v>
      </c>
      <c r="F75"/>
      <c r="G75" t="s">
        <v>184</v>
      </c>
      <c r="H75"/>
      <c r="I75"/>
      <c r="J75" t="s">
        <v>21</v>
      </c>
      <c r="K75" s="44" t="s">
        <v>8</v>
      </c>
      <c r="L75" s="46"/>
      <c r="M75" s="48">
        <v>45313</v>
      </c>
      <c r="N75">
        <v>1</v>
      </c>
      <c r="O75" t="s">
        <v>253</v>
      </c>
      <c r="P75"/>
      <c r="Q75">
        <v>69</v>
      </c>
      <c r="R75"/>
      <c r="S75"/>
      <c r="T75" t="s">
        <v>289</v>
      </c>
      <c r="U75">
        <v>1</v>
      </c>
      <c r="V75" s="16"/>
      <c r="W75" s="64">
        <v>72</v>
      </c>
      <c r="X75" s="16"/>
      <c r="Y75" s="16"/>
      <c r="Z75" s="16"/>
      <c r="AA75" s="16"/>
      <c r="AB75" s="16"/>
      <c r="AC75" s="16"/>
      <c r="AD75" s="16"/>
      <c r="AE75" s="16"/>
      <c r="AF75" s="16"/>
    </row>
    <row r="76" spans="1:32" ht="15" customHeight="1" x14ac:dyDescent="0.25">
      <c r="A76" s="46">
        <v>43</v>
      </c>
      <c r="B76" s="46">
        <v>22</v>
      </c>
      <c r="C76" s="46" t="s">
        <v>14</v>
      </c>
      <c r="D76" s="46" t="s">
        <v>66</v>
      </c>
      <c r="E76" s="44">
        <v>1</v>
      </c>
      <c r="F76"/>
      <c r="G76" t="s">
        <v>199</v>
      </c>
      <c r="H76" t="s">
        <v>200</v>
      </c>
      <c r="I76"/>
      <c r="J76" t="s">
        <v>258</v>
      </c>
      <c r="K76" s="44" t="s">
        <v>8</v>
      </c>
      <c r="L76" s="46"/>
      <c r="M76" s="48">
        <v>45313</v>
      </c>
      <c r="N76">
        <v>2</v>
      </c>
      <c r="O76" t="s">
        <v>259</v>
      </c>
      <c r="P76"/>
      <c r="Q76">
        <v>55</v>
      </c>
      <c r="R76">
        <v>239</v>
      </c>
      <c r="S76"/>
      <c r="T76" t="s">
        <v>289</v>
      </c>
      <c r="U76">
        <v>1</v>
      </c>
      <c r="V76" s="16"/>
      <c r="W76" s="16">
        <v>73</v>
      </c>
      <c r="X76" s="16"/>
      <c r="Y76" s="16"/>
      <c r="Z76" s="16"/>
      <c r="AA76" s="16"/>
      <c r="AB76" s="16"/>
      <c r="AC76" s="16"/>
      <c r="AD76" s="16"/>
      <c r="AE76" s="16"/>
      <c r="AF76" s="16"/>
    </row>
    <row r="77" spans="1:32" ht="15" customHeight="1" x14ac:dyDescent="0.25">
      <c r="A77" s="46">
        <v>44</v>
      </c>
      <c r="B77" s="46">
        <v>22</v>
      </c>
      <c r="C77" s="46" t="s">
        <v>5</v>
      </c>
      <c r="D77" s="46" t="s">
        <v>11</v>
      </c>
      <c r="E77" s="44">
        <v>1.5</v>
      </c>
      <c r="F77"/>
      <c r="G77" t="s">
        <v>207</v>
      </c>
      <c r="H77"/>
      <c r="I77"/>
      <c r="J77" s="72" t="s">
        <v>15</v>
      </c>
      <c r="K77" s="44" t="s">
        <v>8</v>
      </c>
      <c r="L77" s="46"/>
      <c r="M77" s="48">
        <v>45313</v>
      </c>
      <c r="N77">
        <v>1</v>
      </c>
      <c r="O77"/>
      <c r="P77"/>
      <c r="Q77">
        <v>190</v>
      </c>
      <c r="R77"/>
      <c r="S77"/>
      <c r="T77" t="s">
        <v>289</v>
      </c>
      <c r="U77">
        <v>-1</v>
      </c>
      <c r="V77" s="16"/>
      <c r="W77" s="16">
        <v>74</v>
      </c>
      <c r="X77" s="16"/>
      <c r="Y77" s="16"/>
      <c r="Z77" s="16"/>
      <c r="AA77" s="16"/>
      <c r="AB77" s="16"/>
      <c r="AC77" s="16"/>
      <c r="AD77" s="16"/>
      <c r="AE77" s="16"/>
      <c r="AF77" s="16"/>
    </row>
    <row r="78" spans="1:32" ht="15" customHeight="1" x14ac:dyDescent="0.25">
      <c r="A78" s="46">
        <v>45</v>
      </c>
      <c r="B78" s="46">
        <v>22</v>
      </c>
      <c r="C78" s="46" t="s">
        <v>16</v>
      </c>
      <c r="D78" s="46" t="s">
        <v>17</v>
      </c>
      <c r="E78" s="44">
        <v>3</v>
      </c>
      <c r="F78"/>
      <c r="G78"/>
      <c r="H78"/>
      <c r="I78"/>
      <c r="J78" t="s">
        <v>18</v>
      </c>
      <c r="K78" s="44" t="s">
        <v>8</v>
      </c>
      <c r="L78" s="46" t="s">
        <v>228</v>
      </c>
      <c r="M78" s="48">
        <v>45313</v>
      </c>
      <c r="N78">
        <v>0</v>
      </c>
      <c r="O78" t="s">
        <v>256</v>
      </c>
      <c r="P78"/>
      <c r="Q78"/>
      <c r="R78"/>
      <c r="S78"/>
      <c r="T78" t="s">
        <v>289</v>
      </c>
      <c r="U78"/>
      <c r="V78" s="16"/>
      <c r="W78" s="64">
        <v>75</v>
      </c>
      <c r="X78" s="16"/>
      <c r="Y78" s="16"/>
      <c r="Z78" s="16"/>
      <c r="AA78" s="16"/>
      <c r="AB78" s="16"/>
      <c r="AC78" s="16"/>
      <c r="AD78" s="16"/>
      <c r="AE78" s="16"/>
      <c r="AF78" s="16"/>
    </row>
    <row r="79" spans="1:32" ht="15" customHeight="1" x14ac:dyDescent="0.25">
      <c r="A79" s="46">
        <v>46</v>
      </c>
      <c r="B79" s="46">
        <v>23</v>
      </c>
      <c r="C79" s="46" t="s">
        <v>122</v>
      </c>
      <c r="D79" s="46" t="s">
        <v>81</v>
      </c>
      <c r="E79" s="44">
        <v>1</v>
      </c>
      <c r="F79" t="s">
        <v>229</v>
      </c>
      <c r="G79"/>
      <c r="H79"/>
      <c r="I79"/>
      <c r="J79" s="72" t="s">
        <v>15</v>
      </c>
      <c r="K79" s="44" t="s">
        <v>8</v>
      </c>
      <c r="L79" s="46"/>
      <c r="M79" s="48">
        <v>45314</v>
      </c>
      <c r="N79">
        <v>1</v>
      </c>
      <c r="O79"/>
      <c r="P79">
        <v>237</v>
      </c>
      <c r="Q79"/>
      <c r="R79"/>
      <c r="S79"/>
      <c r="T79" t="s">
        <v>289</v>
      </c>
      <c r="U79">
        <v>-1</v>
      </c>
      <c r="V79" s="16"/>
      <c r="W79" s="16">
        <v>76</v>
      </c>
      <c r="X79" s="16"/>
      <c r="Y79" s="16"/>
      <c r="Z79" s="16"/>
      <c r="AA79" s="16"/>
      <c r="AB79" s="16"/>
      <c r="AC79" s="16"/>
      <c r="AD79" s="16"/>
      <c r="AE79" s="16"/>
      <c r="AF79" s="16"/>
    </row>
    <row r="80" spans="1:32" ht="15" customHeight="1" x14ac:dyDescent="0.25">
      <c r="A80" s="46">
        <v>47</v>
      </c>
      <c r="B80" s="46">
        <v>23</v>
      </c>
      <c r="C80" s="46" t="s">
        <v>72</v>
      </c>
      <c r="D80" s="46" t="s">
        <v>13</v>
      </c>
      <c r="E80" s="44">
        <v>1</v>
      </c>
      <c r="F80" t="s">
        <v>160</v>
      </c>
      <c r="G80"/>
      <c r="H80"/>
      <c r="I80"/>
      <c r="J80" s="72" t="s">
        <v>15</v>
      </c>
      <c r="K80" s="44" t="s">
        <v>8</v>
      </c>
      <c r="L80" s="46"/>
      <c r="M80" s="48">
        <v>45314</v>
      </c>
      <c r="N80">
        <v>1</v>
      </c>
      <c r="O80"/>
      <c r="P80">
        <v>47</v>
      </c>
      <c r="Q80"/>
      <c r="R80"/>
      <c r="S80"/>
      <c r="T80" t="s">
        <v>289</v>
      </c>
      <c r="U80">
        <v>-1</v>
      </c>
      <c r="V80" s="16"/>
      <c r="W80" s="16">
        <v>77</v>
      </c>
      <c r="X80" s="16"/>
      <c r="Y80" s="16"/>
      <c r="Z80" s="16"/>
      <c r="AA80" s="16"/>
      <c r="AB80" s="16"/>
      <c r="AC80" s="16"/>
      <c r="AD80" s="16"/>
      <c r="AE80" s="16"/>
      <c r="AF80" s="16"/>
    </row>
    <row r="81" spans="1:32" ht="15" customHeight="1" x14ac:dyDescent="0.25">
      <c r="A81" s="46">
        <v>48</v>
      </c>
      <c r="B81" s="46">
        <v>23</v>
      </c>
      <c r="C81" s="46" t="s">
        <v>19</v>
      </c>
      <c r="D81" s="46" t="s">
        <v>20</v>
      </c>
      <c r="E81" s="44">
        <v>3</v>
      </c>
      <c r="F81"/>
      <c r="G81"/>
      <c r="H81"/>
      <c r="I81"/>
      <c r="J81" t="s">
        <v>18</v>
      </c>
      <c r="K81" s="44" t="s">
        <v>8</v>
      </c>
      <c r="L81" s="46" t="s">
        <v>158</v>
      </c>
      <c r="M81" s="48">
        <v>45314</v>
      </c>
      <c r="N81">
        <v>0</v>
      </c>
      <c r="O81" t="s">
        <v>256</v>
      </c>
      <c r="P81"/>
      <c r="Q81"/>
      <c r="R81"/>
      <c r="S81"/>
      <c r="T81" t="s">
        <v>289</v>
      </c>
      <c r="U81"/>
      <c r="V81" s="16"/>
      <c r="W81" s="64">
        <v>78</v>
      </c>
      <c r="X81" s="16"/>
      <c r="Y81" s="16"/>
      <c r="Z81" s="16"/>
      <c r="AA81" s="16"/>
      <c r="AB81" s="16"/>
      <c r="AC81" s="16"/>
      <c r="AD81" s="16"/>
      <c r="AE81" s="16"/>
      <c r="AF81" s="16"/>
    </row>
    <row r="82" spans="1:32" ht="15" customHeight="1" x14ac:dyDescent="0.25">
      <c r="A82" s="46">
        <v>49</v>
      </c>
      <c r="B82" s="46">
        <v>24</v>
      </c>
      <c r="C82" s="46" t="s">
        <v>79</v>
      </c>
      <c r="D82" s="46" t="s">
        <v>85</v>
      </c>
      <c r="E82" s="44">
        <v>1</v>
      </c>
      <c r="F82" t="s">
        <v>145</v>
      </c>
      <c r="G82"/>
      <c r="H82"/>
      <c r="I82"/>
      <c r="J82" s="72" t="s">
        <v>15</v>
      </c>
      <c r="K82" s="44" t="s">
        <v>8</v>
      </c>
      <c r="L82" s="46"/>
      <c r="M82" s="48">
        <v>45315</v>
      </c>
      <c r="N82">
        <v>1</v>
      </c>
      <c r="O82"/>
      <c r="P82">
        <v>163</v>
      </c>
      <c r="Q82"/>
      <c r="R82"/>
      <c r="S82"/>
      <c r="T82" t="s">
        <v>289</v>
      </c>
      <c r="U82">
        <v>-1</v>
      </c>
      <c r="V82" s="16"/>
      <c r="W82" s="16">
        <v>85</v>
      </c>
      <c r="X82" s="16"/>
      <c r="Y82" s="16"/>
      <c r="Z82" s="16"/>
      <c r="AA82" s="16"/>
      <c r="AB82" s="16"/>
      <c r="AC82" s="16"/>
      <c r="AD82" s="16"/>
      <c r="AE82" s="16"/>
      <c r="AF82" s="16"/>
    </row>
    <row r="83" spans="1:32" ht="15" customHeight="1" x14ac:dyDescent="0.25">
      <c r="A83" s="46">
        <v>50</v>
      </c>
      <c r="B83" s="46">
        <v>24</v>
      </c>
      <c r="C83" s="46" t="s">
        <v>24</v>
      </c>
      <c r="D83" s="46" t="s">
        <v>25</v>
      </c>
      <c r="E83" s="44">
        <v>1</v>
      </c>
      <c r="F83" t="s">
        <v>170</v>
      </c>
      <c r="G83"/>
      <c r="H83"/>
      <c r="I83"/>
      <c r="J83" s="72" t="s">
        <v>15</v>
      </c>
      <c r="K83" s="44" t="s">
        <v>8</v>
      </c>
      <c r="L83" s="46"/>
      <c r="M83" s="48">
        <v>45315</v>
      </c>
      <c r="N83">
        <v>1</v>
      </c>
      <c r="O83"/>
      <c r="P83">
        <v>209</v>
      </c>
      <c r="Q83"/>
      <c r="R83"/>
      <c r="S83"/>
      <c r="T83" t="s">
        <v>289</v>
      </c>
      <c r="U83">
        <v>-1</v>
      </c>
      <c r="V83" s="16"/>
      <c r="W83" s="16">
        <v>86</v>
      </c>
      <c r="X83" s="16"/>
      <c r="Y83" s="16"/>
      <c r="Z83" s="16"/>
      <c r="AA83" s="16"/>
      <c r="AB83" s="16"/>
      <c r="AC83" s="16"/>
      <c r="AD83" s="16"/>
      <c r="AE83" s="16"/>
      <c r="AF83" s="16"/>
    </row>
    <row r="84" spans="1:32" ht="15" customHeight="1" x14ac:dyDescent="0.25">
      <c r="A84" s="46">
        <v>51</v>
      </c>
      <c r="B84" s="46">
        <v>24</v>
      </c>
      <c r="C84" s="46" t="s">
        <v>25</v>
      </c>
      <c r="D84" s="46" t="s">
        <v>19</v>
      </c>
      <c r="E84" s="44">
        <v>1</v>
      </c>
      <c r="F84" t="s">
        <v>180</v>
      </c>
      <c r="G84" t="s">
        <v>179</v>
      </c>
      <c r="H84"/>
      <c r="I84"/>
      <c r="J84" s="72" t="s">
        <v>15</v>
      </c>
      <c r="K84" s="44" t="s">
        <v>8</v>
      </c>
      <c r="L84" s="46"/>
      <c r="M84" s="48">
        <v>45315</v>
      </c>
      <c r="N84">
        <v>2</v>
      </c>
      <c r="O84"/>
      <c r="P84">
        <v>53</v>
      </c>
      <c r="Q84">
        <v>132</v>
      </c>
      <c r="R84"/>
      <c r="S84"/>
      <c r="T84" t="s">
        <v>289</v>
      </c>
      <c r="U84">
        <v>-1</v>
      </c>
      <c r="V84" s="16"/>
      <c r="W84" s="64">
        <v>87</v>
      </c>
      <c r="X84" s="16"/>
      <c r="Y84" s="16"/>
      <c r="Z84" s="16"/>
      <c r="AA84" s="16"/>
      <c r="AB84" s="16"/>
      <c r="AC84" s="16"/>
      <c r="AD84" s="16"/>
      <c r="AE84" s="16"/>
      <c r="AF84" s="16"/>
    </row>
    <row r="85" spans="1:32" ht="15" customHeight="1" x14ac:dyDescent="0.25">
      <c r="A85" s="46">
        <v>52</v>
      </c>
      <c r="B85" s="46">
        <v>24</v>
      </c>
      <c r="C85" s="46" t="s">
        <v>70</v>
      </c>
      <c r="D85" s="46" t="s">
        <v>5</v>
      </c>
      <c r="E85" s="44">
        <v>1</v>
      </c>
      <c r="F85" t="s">
        <v>189</v>
      </c>
      <c r="G85" t="s">
        <v>188</v>
      </c>
      <c r="H85" t="s">
        <v>245</v>
      </c>
      <c r="I85"/>
      <c r="J85" s="76"/>
      <c r="K85" s="44" t="s">
        <v>8</v>
      </c>
      <c r="L85" s="46"/>
      <c r="M85" s="48">
        <v>45315</v>
      </c>
      <c r="N85">
        <v>3</v>
      </c>
      <c r="O85"/>
      <c r="P85">
        <v>127</v>
      </c>
      <c r="Q85">
        <v>189</v>
      </c>
      <c r="R85">
        <v>258</v>
      </c>
      <c r="S85"/>
      <c r="T85" t="s">
        <v>289</v>
      </c>
      <c r="U85">
        <v>-1</v>
      </c>
      <c r="V85" s="16"/>
      <c r="W85" s="16">
        <v>88</v>
      </c>
      <c r="X85" s="16"/>
      <c r="Y85" s="16"/>
      <c r="Z85" s="16"/>
      <c r="AA85" s="16"/>
      <c r="AB85" s="16"/>
      <c r="AC85" s="16"/>
      <c r="AD85" s="16"/>
      <c r="AE85" s="16"/>
      <c r="AF85" s="16"/>
    </row>
    <row r="86" spans="1:32" ht="15" customHeight="1" x14ac:dyDescent="0.25">
      <c r="A86" s="46">
        <v>53</v>
      </c>
      <c r="B86" s="46">
        <v>24</v>
      </c>
      <c r="C86" s="46" t="s">
        <v>5</v>
      </c>
      <c r="D86" s="46" t="s">
        <v>6</v>
      </c>
      <c r="E86" s="44">
        <v>1</v>
      </c>
      <c r="F86"/>
      <c r="G86" t="s">
        <v>210</v>
      </c>
      <c r="H86" t="s">
        <v>209</v>
      </c>
      <c r="I86"/>
      <c r="J86" t="s">
        <v>7</v>
      </c>
      <c r="K86" s="44" t="s">
        <v>8</v>
      </c>
      <c r="L86" s="46"/>
      <c r="M86" s="48">
        <v>45315</v>
      </c>
      <c r="N86">
        <v>2</v>
      </c>
      <c r="O86" t="s">
        <v>254</v>
      </c>
      <c r="P86"/>
      <c r="Q86">
        <v>137</v>
      </c>
      <c r="R86">
        <v>241</v>
      </c>
      <c r="S86"/>
      <c r="T86" t="s">
        <v>289</v>
      </c>
      <c r="U86">
        <v>1</v>
      </c>
      <c r="V86" s="16"/>
      <c r="W86" s="16">
        <v>89</v>
      </c>
      <c r="X86" s="16"/>
      <c r="Y86" s="16"/>
      <c r="Z86" s="16"/>
      <c r="AA86" s="16"/>
      <c r="AB86" s="16"/>
      <c r="AC86" s="16"/>
      <c r="AD86" s="16"/>
      <c r="AE86" s="16"/>
      <c r="AF86" s="16"/>
    </row>
    <row r="87" spans="1:32" ht="15" customHeight="1" x14ac:dyDescent="0.25">
      <c r="A87" s="60">
        <v>54</v>
      </c>
      <c r="B87" s="60">
        <v>25</v>
      </c>
      <c r="C87" s="60" t="s">
        <v>72</v>
      </c>
      <c r="D87" s="60" t="s">
        <v>69</v>
      </c>
      <c r="E87" s="61">
        <v>1.5</v>
      </c>
      <c r="F87" s="76" t="s">
        <v>266</v>
      </c>
      <c r="G87"/>
      <c r="H87"/>
      <c r="I87"/>
      <c r="J87" s="76" t="s">
        <v>277</v>
      </c>
      <c r="K87" s="61" t="s">
        <v>8</v>
      </c>
      <c r="L87" s="60" t="s">
        <v>164</v>
      </c>
      <c r="M87"/>
      <c r="N87">
        <v>1</v>
      </c>
      <c r="O87"/>
      <c r="P87"/>
      <c r="Q87"/>
      <c r="R87"/>
      <c r="S87"/>
      <c r="T87" t="s">
        <v>289</v>
      </c>
      <c r="U87">
        <v>-1</v>
      </c>
      <c r="V87" s="16"/>
      <c r="W87" s="64">
        <v>96</v>
      </c>
      <c r="X87" s="16"/>
      <c r="Y87" s="16"/>
      <c r="Z87" s="16"/>
      <c r="AA87" s="16"/>
      <c r="AB87" s="16"/>
      <c r="AC87" s="16"/>
      <c r="AD87" s="16"/>
      <c r="AE87" s="16"/>
      <c r="AF87" s="16"/>
    </row>
    <row r="88" spans="1:32" ht="15" customHeight="1" x14ac:dyDescent="0.25">
      <c r="A88" s="46">
        <v>55</v>
      </c>
      <c r="B88" s="46">
        <v>25</v>
      </c>
      <c r="C88" s="46" t="s">
        <v>26</v>
      </c>
      <c r="D88" s="46" t="s">
        <v>70</v>
      </c>
      <c r="E88" s="44">
        <v>1</v>
      </c>
      <c r="F88"/>
      <c r="G88" s="76" t="s">
        <v>225</v>
      </c>
      <c r="H88"/>
      <c r="I88"/>
      <c r="J88" s="72" t="s">
        <v>15</v>
      </c>
      <c r="K88" s="44" t="s">
        <v>8</v>
      </c>
      <c r="L88" s="46"/>
      <c r="M88" s="48">
        <v>45316</v>
      </c>
      <c r="N88">
        <v>1</v>
      </c>
      <c r="O88"/>
      <c r="P88"/>
      <c r="Q88"/>
      <c r="R88"/>
      <c r="S88"/>
      <c r="T88" t="s">
        <v>289</v>
      </c>
      <c r="U88">
        <v>-1</v>
      </c>
      <c r="V88" s="16"/>
      <c r="W88" s="16">
        <v>97</v>
      </c>
      <c r="X88" s="16"/>
      <c r="Y88" s="16"/>
      <c r="Z88" s="16"/>
      <c r="AA88" s="16"/>
      <c r="AB88" s="16"/>
      <c r="AC88" s="16"/>
      <c r="AD88" s="16"/>
      <c r="AE88" s="16"/>
      <c r="AF88" s="16"/>
    </row>
    <row r="89" spans="1:32" ht="15" customHeight="1" x14ac:dyDescent="0.25">
      <c r="A89" s="46">
        <v>56</v>
      </c>
      <c r="B89" s="46">
        <v>25</v>
      </c>
      <c r="C89" s="46" t="s">
        <v>10</v>
      </c>
      <c r="D89" s="46" t="s">
        <v>6</v>
      </c>
      <c r="E89" s="44">
        <v>1.5</v>
      </c>
      <c r="F89" t="s">
        <v>218</v>
      </c>
      <c r="G89" t="s">
        <v>154</v>
      </c>
      <c r="H89"/>
      <c r="I89"/>
      <c r="J89" t="s">
        <v>7</v>
      </c>
      <c r="K89" s="44" t="s">
        <v>8</v>
      </c>
      <c r="L89" s="46"/>
      <c r="M89" s="48">
        <v>45316</v>
      </c>
      <c r="N89">
        <v>2</v>
      </c>
      <c r="O89" t="s">
        <v>255</v>
      </c>
      <c r="P89">
        <v>19</v>
      </c>
      <c r="Q89">
        <v>154</v>
      </c>
      <c r="R89"/>
      <c r="S89"/>
      <c r="T89" t="s">
        <v>289</v>
      </c>
      <c r="U89">
        <v>1</v>
      </c>
      <c r="V89" s="16"/>
      <c r="W89" s="16">
        <v>98</v>
      </c>
      <c r="X89" s="16"/>
      <c r="Y89" s="16"/>
      <c r="Z89" s="16"/>
      <c r="AA89" s="16"/>
      <c r="AB89" s="16"/>
      <c r="AC89" s="16"/>
      <c r="AD89" s="16"/>
      <c r="AE89" s="16"/>
      <c r="AF89" s="16"/>
    </row>
    <row r="90" spans="1:32" ht="15" customHeight="1" x14ac:dyDescent="0.25">
      <c r="A90" s="46">
        <v>57</v>
      </c>
      <c r="B90" s="46">
        <v>26</v>
      </c>
      <c r="C90" s="46" t="s">
        <v>85</v>
      </c>
      <c r="D90" s="46" t="s">
        <v>13</v>
      </c>
      <c r="E90" s="44">
        <v>2</v>
      </c>
      <c r="F90" t="s">
        <v>189</v>
      </c>
      <c r="G90" t="s">
        <v>188</v>
      </c>
      <c r="H90" t="s">
        <v>245</v>
      </c>
      <c r="I90"/>
      <c r="J90" s="76" t="s">
        <v>283</v>
      </c>
      <c r="K90" s="44" t="s">
        <v>8</v>
      </c>
      <c r="L90" s="46"/>
      <c r="M90" s="48">
        <v>45317</v>
      </c>
      <c r="N90">
        <v>3</v>
      </c>
      <c r="O90"/>
      <c r="P90">
        <v>127</v>
      </c>
      <c r="Q90">
        <v>189</v>
      </c>
      <c r="R90">
        <v>258</v>
      </c>
      <c r="S90"/>
      <c r="T90" t="s">
        <v>289</v>
      </c>
      <c r="U90">
        <v>-1</v>
      </c>
      <c r="V90" s="16"/>
      <c r="W90" s="64">
        <v>99</v>
      </c>
      <c r="X90" s="16"/>
      <c r="Y90" s="16"/>
      <c r="Z90" s="16"/>
      <c r="AA90" s="16"/>
      <c r="AB90" s="16"/>
      <c r="AC90" s="16"/>
      <c r="AD90" s="16"/>
      <c r="AE90" s="16"/>
      <c r="AF90" s="16"/>
    </row>
    <row r="91" spans="1:32" ht="15" customHeight="1" x14ac:dyDescent="0.25">
      <c r="A91" s="46">
        <v>58</v>
      </c>
      <c r="B91" s="46">
        <v>26</v>
      </c>
      <c r="C91" s="46" t="s">
        <v>24</v>
      </c>
      <c r="D91" s="46" t="s">
        <v>25</v>
      </c>
      <c r="E91" s="44">
        <v>1</v>
      </c>
      <c r="F91" t="s">
        <v>192</v>
      </c>
      <c r="G91"/>
      <c r="H91"/>
      <c r="I91"/>
      <c r="J91" t="s">
        <v>283</v>
      </c>
      <c r="K91" s="44" t="s">
        <v>8</v>
      </c>
      <c r="L91" s="46"/>
      <c r="M91" s="48">
        <v>45317</v>
      </c>
      <c r="N91">
        <v>1</v>
      </c>
      <c r="O91" t="s">
        <v>284</v>
      </c>
      <c r="P91">
        <v>122</v>
      </c>
      <c r="Q91"/>
      <c r="R91"/>
      <c r="S91"/>
      <c r="T91" t="s">
        <v>289</v>
      </c>
      <c r="U91">
        <v>1</v>
      </c>
      <c r="V91" s="16"/>
      <c r="W91" s="16">
        <v>100</v>
      </c>
      <c r="X91" s="16"/>
      <c r="Y91" s="16"/>
      <c r="Z91" s="16"/>
      <c r="AA91" s="16"/>
      <c r="AB91" s="16"/>
      <c r="AC91" s="16"/>
      <c r="AD91" s="16"/>
      <c r="AE91" s="16"/>
      <c r="AF91" s="16"/>
    </row>
    <row r="92" spans="1:32" ht="15" customHeight="1" x14ac:dyDescent="0.25">
      <c r="A92" s="60">
        <v>59</v>
      </c>
      <c r="B92" s="60">
        <v>29</v>
      </c>
      <c r="C92" s="60" t="s">
        <v>85</v>
      </c>
      <c r="D92" s="60" t="s">
        <v>93</v>
      </c>
      <c r="E92" s="61">
        <v>1.5</v>
      </c>
      <c r="F92" s="76" t="s">
        <v>280</v>
      </c>
      <c r="G92"/>
      <c r="H92"/>
      <c r="I92"/>
      <c r="J92" s="76" t="s">
        <v>277</v>
      </c>
      <c r="K92" s="61" t="s">
        <v>8</v>
      </c>
      <c r="L92" s="60" t="s">
        <v>158</v>
      </c>
      <c r="M92"/>
      <c r="N92">
        <v>1</v>
      </c>
      <c r="O92"/>
      <c r="P92"/>
      <c r="Q92"/>
      <c r="R92"/>
      <c r="S92"/>
      <c r="T92" t="s">
        <v>289</v>
      </c>
      <c r="U92">
        <v>-1</v>
      </c>
      <c r="V92" s="16"/>
      <c r="W92" s="16">
        <v>101</v>
      </c>
      <c r="X92" s="16"/>
      <c r="Y92" s="16"/>
      <c r="Z92" s="16"/>
      <c r="AA92" s="16"/>
      <c r="AB92" s="16"/>
      <c r="AC92" s="16"/>
      <c r="AD92" s="16"/>
      <c r="AE92" s="16"/>
      <c r="AF92" s="16"/>
    </row>
    <row r="93" spans="1:32" ht="15" customHeight="1" x14ac:dyDescent="0.25">
      <c r="A93" s="46">
        <v>60</v>
      </c>
      <c r="B93" s="46">
        <v>29</v>
      </c>
      <c r="C93" s="46" t="s">
        <v>93</v>
      </c>
      <c r="D93" s="46" t="s">
        <v>69</v>
      </c>
      <c r="E93" s="44">
        <v>1</v>
      </c>
      <c r="F93" t="s">
        <v>190</v>
      </c>
      <c r="G93"/>
      <c r="H93"/>
      <c r="I93"/>
      <c r="J93" s="72" t="s">
        <v>15</v>
      </c>
      <c r="K93" s="44" t="s">
        <v>8</v>
      </c>
      <c r="L93" s="46"/>
      <c r="M93" s="48">
        <v>45320</v>
      </c>
      <c r="N93">
        <v>1</v>
      </c>
      <c r="O93"/>
      <c r="P93">
        <v>174</v>
      </c>
      <c r="Q93"/>
      <c r="R93"/>
      <c r="S93"/>
      <c r="T93" t="s">
        <v>289</v>
      </c>
      <c r="U93">
        <v>-1</v>
      </c>
      <c r="V93" s="16"/>
      <c r="W93" s="64">
        <v>102</v>
      </c>
      <c r="X93" s="16"/>
      <c r="Y93" s="16"/>
      <c r="Z93" s="16"/>
      <c r="AA93" s="16"/>
      <c r="AB93" s="16"/>
      <c r="AC93" s="16"/>
      <c r="AD93" s="16"/>
      <c r="AE93" s="16"/>
      <c r="AF93" s="16"/>
    </row>
    <row r="94" spans="1:32" ht="15" customHeight="1" x14ac:dyDescent="0.25">
      <c r="A94" s="46">
        <v>61</v>
      </c>
      <c r="B94" s="46">
        <v>29</v>
      </c>
      <c r="C94" s="46" t="s">
        <v>69</v>
      </c>
      <c r="D94" s="46" t="s">
        <v>14</v>
      </c>
      <c r="E94" s="44">
        <v>1</v>
      </c>
      <c r="F94" t="s">
        <v>187</v>
      </c>
      <c r="G94"/>
      <c r="H94"/>
      <c r="I94"/>
      <c r="J94" t="s">
        <v>21</v>
      </c>
      <c r="K94" s="44" t="s">
        <v>8</v>
      </c>
      <c r="L94" s="46"/>
      <c r="M94" s="48">
        <v>45320</v>
      </c>
      <c r="N94">
        <v>1</v>
      </c>
      <c r="O94" t="s">
        <v>253</v>
      </c>
      <c r="P94">
        <v>52</v>
      </c>
      <c r="Q94"/>
      <c r="R94"/>
      <c r="S94"/>
      <c r="T94" t="s">
        <v>289</v>
      </c>
      <c r="U94">
        <v>1</v>
      </c>
      <c r="V94" s="16"/>
      <c r="W94" s="16">
        <v>103</v>
      </c>
      <c r="X94" s="16"/>
      <c r="Y94" s="16"/>
      <c r="Z94" s="16"/>
      <c r="AA94" s="16"/>
      <c r="AB94" s="16"/>
      <c r="AC94" s="16"/>
      <c r="AD94" s="16"/>
      <c r="AE94" s="16"/>
      <c r="AF94" s="16"/>
    </row>
    <row r="95" spans="1:32" ht="15" customHeight="1" x14ac:dyDescent="0.25">
      <c r="A95" s="46">
        <v>62</v>
      </c>
      <c r="B95" s="46">
        <v>29</v>
      </c>
      <c r="C95" s="46" t="s">
        <v>14</v>
      </c>
      <c r="D95" s="46" t="s">
        <v>66</v>
      </c>
      <c r="E95" s="44">
        <v>1</v>
      </c>
      <c r="F95" t="s">
        <v>200</v>
      </c>
      <c r="G95" t="s">
        <v>199</v>
      </c>
      <c r="H95"/>
      <c r="I95"/>
      <c r="J95" s="72" t="s">
        <v>15</v>
      </c>
      <c r="K95" s="44" t="s">
        <v>8</v>
      </c>
      <c r="L95" s="46"/>
      <c r="M95" s="48">
        <v>45320</v>
      </c>
      <c r="N95">
        <v>2</v>
      </c>
      <c r="O95"/>
      <c r="P95">
        <v>239</v>
      </c>
      <c r="Q95">
        <v>55</v>
      </c>
      <c r="R95"/>
      <c r="S95"/>
      <c r="T95" t="s">
        <v>289</v>
      </c>
      <c r="U95">
        <v>-1</v>
      </c>
      <c r="V95" s="16"/>
      <c r="W95" s="16">
        <v>104</v>
      </c>
      <c r="X95" s="16"/>
      <c r="Y95" s="16"/>
      <c r="Z95" s="16"/>
      <c r="AA95" s="16"/>
      <c r="AB95" s="16"/>
      <c r="AC95" s="16"/>
      <c r="AD95" s="16"/>
      <c r="AE95" s="16"/>
      <c r="AF95" s="16"/>
    </row>
    <row r="96" spans="1:32" ht="15" customHeight="1" x14ac:dyDescent="0.25">
      <c r="A96" s="46">
        <v>63</v>
      </c>
      <c r="B96" s="46">
        <v>29</v>
      </c>
      <c r="C96" s="46" t="s">
        <v>9</v>
      </c>
      <c r="D96" s="46" t="s">
        <v>20</v>
      </c>
      <c r="E96" s="44">
        <v>2</v>
      </c>
      <c r="F96" t="s">
        <v>189</v>
      </c>
      <c r="G96" t="s">
        <v>188</v>
      </c>
      <c r="H96" t="s">
        <v>245</v>
      </c>
      <c r="I96"/>
      <c r="J96" s="72" t="s">
        <v>15</v>
      </c>
      <c r="K96" s="44" t="s">
        <v>8</v>
      </c>
      <c r="L96" s="46"/>
      <c r="M96" s="48">
        <v>45320</v>
      </c>
      <c r="N96">
        <v>3</v>
      </c>
      <c r="O96"/>
      <c r="P96">
        <v>127</v>
      </c>
      <c r="Q96">
        <v>189</v>
      </c>
      <c r="R96">
        <v>258</v>
      </c>
      <c r="S96"/>
      <c r="T96" t="s">
        <v>289</v>
      </c>
      <c r="U96">
        <v>-1</v>
      </c>
      <c r="V96" s="16"/>
      <c r="W96" s="64">
        <v>105</v>
      </c>
      <c r="X96" s="16"/>
      <c r="Y96" s="16"/>
      <c r="Z96" s="16"/>
      <c r="AA96" s="16"/>
      <c r="AB96" s="16"/>
      <c r="AC96" s="16"/>
      <c r="AD96" s="16"/>
      <c r="AE96" s="16"/>
      <c r="AF96" s="16"/>
    </row>
    <row r="97" spans="1:32" ht="15" customHeight="1" x14ac:dyDescent="0.25">
      <c r="A97" s="46">
        <v>64</v>
      </c>
      <c r="B97" s="46">
        <v>29</v>
      </c>
      <c r="C97" s="46" t="s">
        <v>16</v>
      </c>
      <c r="D97" s="46" t="s">
        <v>17</v>
      </c>
      <c r="E97" s="44">
        <v>3</v>
      </c>
      <c r="F97"/>
      <c r="G97"/>
      <c r="H97"/>
      <c r="I97"/>
      <c r="J97" t="s">
        <v>18</v>
      </c>
      <c r="K97" s="44" t="s">
        <v>8</v>
      </c>
      <c r="L97" s="46" t="s">
        <v>228</v>
      </c>
      <c r="M97" s="48">
        <v>45320</v>
      </c>
      <c r="N97">
        <v>0</v>
      </c>
      <c r="O97" t="s">
        <v>256</v>
      </c>
      <c r="P97"/>
      <c r="Q97"/>
      <c r="R97"/>
      <c r="S97"/>
      <c r="T97" t="s">
        <v>289</v>
      </c>
      <c r="U97"/>
      <c r="V97" s="16"/>
      <c r="W97" s="16">
        <v>106</v>
      </c>
      <c r="X97" s="16"/>
      <c r="Y97" s="16"/>
      <c r="Z97" s="16"/>
      <c r="AA97" s="16"/>
      <c r="AB97" s="16"/>
      <c r="AC97" s="16"/>
      <c r="AD97" s="16"/>
      <c r="AE97" s="16"/>
      <c r="AF97" s="16"/>
    </row>
    <row r="98" spans="1:32" ht="15" customHeight="1" x14ac:dyDescent="0.25">
      <c r="A98" s="46">
        <v>65</v>
      </c>
      <c r="B98" s="46">
        <v>30</v>
      </c>
      <c r="C98" s="46" t="s">
        <v>72</v>
      </c>
      <c r="D98" s="46" t="s">
        <v>13</v>
      </c>
      <c r="E98" s="44">
        <v>1</v>
      </c>
      <c r="F98" t="s">
        <v>160</v>
      </c>
      <c r="G98"/>
      <c r="H98"/>
      <c r="I98"/>
      <c r="J98" s="72" t="s">
        <v>15</v>
      </c>
      <c r="K98" s="44" t="s">
        <v>8</v>
      </c>
      <c r="L98" s="46"/>
      <c r="M98" s="48">
        <v>45321</v>
      </c>
      <c r="N98">
        <v>1</v>
      </c>
      <c r="O98"/>
      <c r="P98">
        <v>47</v>
      </c>
      <c r="Q98"/>
      <c r="R98"/>
      <c r="S98"/>
      <c r="T98" t="s">
        <v>289</v>
      </c>
      <c r="U98">
        <v>-1</v>
      </c>
      <c r="V98" s="16"/>
      <c r="W98" s="16">
        <v>107</v>
      </c>
      <c r="X98" s="16"/>
      <c r="Y98" s="16"/>
      <c r="Z98" s="16"/>
      <c r="AA98" s="16"/>
      <c r="AB98" s="16"/>
      <c r="AC98" s="16"/>
      <c r="AD98" s="16"/>
      <c r="AE98" s="16"/>
      <c r="AF98" s="16"/>
    </row>
    <row r="99" spans="1:32" ht="15" customHeight="1" x14ac:dyDescent="0.25">
      <c r="A99" s="46">
        <v>66</v>
      </c>
      <c r="B99" s="46">
        <v>30</v>
      </c>
      <c r="C99" s="46" t="s">
        <v>13</v>
      </c>
      <c r="D99" s="46" t="s">
        <v>14</v>
      </c>
      <c r="E99" s="44">
        <v>1.5</v>
      </c>
      <c r="F99" t="s">
        <v>184</v>
      </c>
      <c r="G99"/>
      <c r="H99"/>
      <c r="I99"/>
      <c r="J99" s="76" t="s">
        <v>21</v>
      </c>
      <c r="K99" s="44" t="s">
        <v>8</v>
      </c>
      <c r="L99" s="46"/>
      <c r="M99" s="48">
        <v>45321</v>
      </c>
      <c r="N99">
        <v>1</v>
      </c>
      <c r="O99"/>
      <c r="P99">
        <v>69</v>
      </c>
      <c r="Q99"/>
      <c r="R99"/>
      <c r="S99"/>
      <c r="T99" t="s">
        <v>289</v>
      </c>
      <c r="U99">
        <v>-1</v>
      </c>
      <c r="V99" s="16"/>
      <c r="W99" s="64">
        <v>108</v>
      </c>
      <c r="X99" s="16"/>
      <c r="Y99" s="16"/>
      <c r="Z99" s="16"/>
      <c r="AA99" s="16"/>
      <c r="AB99" s="16"/>
      <c r="AC99" s="16"/>
      <c r="AD99" s="16"/>
      <c r="AE99" s="16"/>
      <c r="AF99" s="16"/>
    </row>
    <row r="100" spans="1:32" ht="15" customHeight="1" x14ac:dyDescent="0.25">
      <c r="A100" s="46">
        <v>67</v>
      </c>
      <c r="B100" s="46">
        <v>30</v>
      </c>
      <c r="C100" s="46" t="s">
        <v>19</v>
      </c>
      <c r="D100" s="46" t="s">
        <v>20</v>
      </c>
      <c r="E100" s="44">
        <v>3</v>
      </c>
      <c r="F100"/>
      <c r="G100"/>
      <c r="H100"/>
      <c r="I100"/>
      <c r="J100" t="s">
        <v>18</v>
      </c>
      <c r="K100" s="44" t="s">
        <v>8</v>
      </c>
      <c r="L100" s="46" t="s">
        <v>158</v>
      </c>
      <c r="M100" s="48">
        <v>45321</v>
      </c>
      <c r="N100">
        <v>0</v>
      </c>
      <c r="O100" t="s">
        <v>256</v>
      </c>
      <c r="P100"/>
      <c r="Q100"/>
      <c r="R100"/>
      <c r="S100"/>
      <c r="T100" t="s">
        <v>289</v>
      </c>
      <c r="U100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</row>
    <row r="101" spans="1:32" ht="15" customHeight="1" x14ac:dyDescent="0.25">
      <c r="A101" s="46">
        <v>68</v>
      </c>
      <c r="B101" s="46">
        <v>31</v>
      </c>
      <c r="C101" s="46" t="s">
        <v>79</v>
      </c>
      <c r="D101" s="46" t="s">
        <v>89</v>
      </c>
      <c r="E101" s="44">
        <v>1.5</v>
      </c>
      <c r="F101" t="s">
        <v>189</v>
      </c>
      <c r="G101" t="s">
        <v>188</v>
      </c>
      <c r="H101"/>
      <c r="I101"/>
      <c r="J101" s="72" t="s">
        <v>15</v>
      </c>
      <c r="K101" s="44" t="s">
        <v>8</v>
      </c>
      <c r="L101" s="46"/>
      <c r="M101" s="48">
        <v>45322</v>
      </c>
      <c r="N101">
        <v>2</v>
      </c>
      <c r="O101"/>
      <c r="P101">
        <v>127</v>
      </c>
      <c r="Q101">
        <v>189</v>
      </c>
      <c r="R101"/>
      <c r="S101"/>
      <c r="T101" t="s">
        <v>289</v>
      </c>
      <c r="U101">
        <v>-1</v>
      </c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</row>
    <row r="102" spans="1:32" ht="15" customHeight="1" x14ac:dyDescent="0.25">
      <c r="A102" s="46">
        <v>69</v>
      </c>
      <c r="B102" s="46">
        <v>31</v>
      </c>
      <c r="C102" s="46" t="s">
        <v>89</v>
      </c>
      <c r="D102" s="46" t="s">
        <v>93</v>
      </c>
      <c r="E102" s="44">
        <v>1</v>
      </c>
      <c r="F102" t="s">
        <v>170</v>
      </c>
      <c r="G102"/>
      <c r="H102"/>
      <c r="I102"/>
      <c r="J102" s="72" t="s">
        <v>15</v>
      </c>
      <c r="K102" s="44" t="s">
        <v>8</v>
      </c>
      <c r="L102" s="46"/>
      <c r="M102" s="48">
        <v>45322</v>
      </c>
      <c r="N102">
        <v>1</v>
      </c>
      <c r="O102"/>
      <c r="P102">
        <v>209</v>
      </c>
      <c r="Q102"/>
      <c r="R102"/>
      <c r="S102"/>
      <c r="T102" t="s">
        <v>289</v>
      </c>
      <c r="U102">
        <v>-1</v>
      </c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</row>
    <row r="103" spans="1:32" ht="15" customHeight="1" x14ac:dyDescent="0.25">
      <c r="A103" s="46">
        <v>70</v>
      </c>
      <c r="B103" s="46">
        <v>31</v>
      </c>
      <c r="C103" s="46" t="s">
        <v>93</v>
      </c>
      <c r="D103" s="46" t="s">
        <v>69</v>
      </c>
      <c r="E103" s="44">
        <v>1</v>
      </c>
      <c r="F103" t="s">
        <v>160</v>
      </c>
      <c r="G103"/>
      <c r="H103"/>
      <c r="I103"/>
      <c r="J103" s="72" t="s">
        <v>15</v>
      </c>
      <c r="K103" s="44" t="s">
        <v>8</v>
      </c>
      <c r="L103" s="46"/>
      <c r="M103" s="48">
        <v>45322</v>
      </c>
      <c r="N103">
        <v>1</v>
      </c>
      <c r="O103"/>
      <c r="P103">
        <v>47</v>
      </c>
      <c r="Q103"/>
      <c r="R103"/>
      <c r="S103"/>
      <c r="T103" t="s">
        <v>289</v>
      </c>
      <c r="U103">
        <v>-1</v>
      </c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</row>
    <row r="104" spans="1:32" ht="15" customHeight="1" x14ac:dyDescent="0.25">
      <c r="A104" s="46">
        <v>71</v>
      </c>
      <c r="B104" s="46">
        <v>31</v>
      </c>
      <c r="C104" s="46" t="s">
        <v>24</v>
      </c>
      <c r="D104" s="46" t="s">
        <v>25</v>
      </c>
      <c r="E104" s="44">
        <v>1</v>
      </c>
      <c r="F104"/>
      <c r="G104" t="s">
        <v>183</v>
      </c>
      <c r="H104"/>
      <c r="I104"/>
      <c r="J104" s="72" t="s">
        <v>15</v>
      </c>
      <c r="K104" s="44" t="s">
        <v>8</v>
      </c>
      <c r="L104" s="46"/>
      <c r="M104" s="48">
        <v>45322</v>
      </c>
      <c r="N104">
        <v>1</v>
      </c>
      <c r="O104"/>
      <c r="P104"/>
      <c r="Q104">
        <v>121</v>
      </c>
      <c r="R104"/>
      <c r="S104"/>
      <c r="T104" t="s">
        <v>289</v>
      </c>
      <c r="U104">
        <v>-1</v>
      </c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</row>
    <row r="105" spans="1:32" ht="15" customHeight="1" x14ac:dyDescent="0.25">
      <c r="A105" s="70">
        <v>72</v>
      </c>
      <c r="B105" s="70">
        <v>26</v>
      </c>
      <c r="C105" s="70" t="s">
        <v>121</v>
      </c>
      <c r="D105" s="70" t="s">
        <v>79</v>
      </c>
      <c r="E105" s="71">
        <v>1</v>
      </c>
      <c r="F105" s="76" t="s">
        <v>280</v>
      </c>
      <c r="G105"/>
      <c r="H105"/>
      <c r="I105"/>
      <c r="J105" s="76" t="s">
        <v>277</v>
      </c>
      <c r="K105" s="71" t="s">
        <v>8</v>
      </c>
      <c r="L105" s="72" t="s">
        <v>280</v>
      </c>
      <c r="M105"/>
      <c r="N105">
        <v>1</v>
      </c>
      <c r="O105"/>
      <c r="P105"/>
      <c r="Q105"/>
      <c r="R105"/>
      <c r="S105"/>
      <c r="T105" t="s">
        <v>289</v>
      </c>
      <c r="U105">
        <v>-1</v>
      </c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</row>
    <row r="106" spans="1:32" ht="15" customHeight="1" x14ac:dyDescent="0.25">
      <c r="A106" s="56" t="s">
        <v>271</v>
      </c>
      <c r="B106" s="56">
        <v>26</v>
      </c>
      <c r="C106" s="56" t="s">
        <v>121</v>
      </c>
      <c r="D106" s="56" t="s">
        <v>79</v>
      </c>
      <c r="E106" s="57">
        <v>1.5</v>
      </c>
      <c r="F106" t="s">
        <v>187</v>
      </c>
      <c r="G106"/>
      <c r="H106"/>
      <c r="I106"/>
      <c r="J106" t="s">
        <v>275</v>
      </c>
      <c r="K106" s="57" t="s">
        <v>8</v>
      </c>
      <c r="L106" s="58" t="s">
        <v>280</v>
      </c>
      <c r="M106" s="48">
        <v>45317</v>
      </c>
      <c r="N106">
        <v>1</v>
      </c>
      <c r="O106" t="s">
        <v>293</v>
      </c>
      <c r="P106">
        <v>52</v>
      </c>
      <c r="Q106"/>
      <c r="R106"/>
      <c r="S106"/>
      <c r="T106" t="s">
        <v>289</v>
      </c>
      <c r="U106">
        <v>1</v>
      </c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</row>
    <row r="107" spans="1:32" ht="15" customHeight="1" x14ac:dyDescent="0.25">
      <c r="A107" s="56" t="s">
        <v>271</v>
      </c>
      <c r="B107" s="56">
        <v>26</v>
      </c>
      <c r="C107" s="56" t="s">
        <v>121</v>
      </c>
      <c r="D107" s="56" t="s">
        <v>79</v>
      </c>
      <c r="E107" s="57">
        <v>1</v>
      </c>
      <c r="F107" t="s">
        <v>180</v>
      </c>
      <c r="G107"/>
      <c r="H107"/>
      <c r="I107"/>
      <c r="J107" s="76" t="s">
        <v>275</v>
      </c>
      <c r="K107" s="57" t="s">
        <v>8</v>
      </c>
      <c r="L107" s="58" t="s">
        <v>280</v>
      </c>
      <c r="M107" s="48">
        <v>45317</v>
      </c>
      <c r="N107">
        <v>1</v>
      </c>
      <c r="O107"/>
      <c r="P107">
        <v>53</v>
      </c>
      <c r="Q107"/>
      <c r="R107"/>
      <c r="S107"/>
      <c r="T107" t="s">
        <v>289</v>
      </c>
      <c r="U107">
        <v>-1</v>
      </c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</row>
    <row r="108" spans="1:32" ht="15" customHeight="1" x14ac:dyDescent="0.25">
      <c r="A108" s="56" t="s">
        <v>271</v>
      </c>
      <c r="B108" s="56">
        <v>26</v>
      </c>
      <c r="C108" s="56" t="s">
        <v>121</v>
      </c>
      <c r="D108" s="56" t="s">
        <v>79</v>
      </c>
      <c r="E108" s="57">
        <v>1</v>
      </c>
      <c r="F108" t="s">
        <v>267</v>
      </c>
      <c r="G108"/>
      <c r="H108"/>
      <c r="I108"/>
      <c r="J108" s="76" t="s">
        <v>272</v>
      </c>
      <c r="K108" s="57" t="s">
        <v>8</v>
      </c>
      <c r="L108" s="58" t="s">
        <v>280</v>
      </c>
      <c r="M108" s="48">
        <v>45317</v>
      </c>
      <c r="N108">
        <v>1</v>
      </c>
      <c r="O108"/>
      <c r="P108">
        <v>54</v>
      </c>
      <c r="Q108"/>
      <c r="R108"/>
      <c r="S108"/>
      <c r="T108" t="s">
        <v>289</v>
      </c>
      <c r="U108">
        <v>-1</v>
      </c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</row>
    <row r="109" spans="1:32" ht="15" customHeight="1" x14ac:dyDescent="0.25">
      <c r="A109" s="56" t="s">
        <v>271</v>
      </c>
      <c r="B109" s="56">
        <v>26</v>
      </c>
      <c r="C109" s="56" t="s">
        <v>121</v>
      </c>
      <c r="D109" s="56" t="s">
        <v>79</v>
      </c>
      <c r="E109" s="57">
        <v>1</v>
      </c>
      <c r="F109" t="s">
        <v>199</v>
      </c>
      <c r="G109"/>
      <c r="H109"/>
      <c r="I109"/>
      <c r="J109" s="76" t="s">
        <v>272</v>
      </c>
      <c r="K109" s="57" t="s">
        <v>8</v>
      </c>
      <c r="L109" s="58" t="s">
        <v>280</v>
      </c>
      <c r="M109" s="48">
        <v>45317</v>
      </c>
      <c r="N109">
        <v>1</v>
      </c>
      <c r="O109"/>
      <c r="P109">
        <v>55</v>
      </c>
      <c r="Q109"/>
      <c r="R109"/>
      <c r="S109"/>
      <c r="T109" t="s">
        <v>289</v>
      </c>
      <c r="U109">
        <v>-1</v>
      </c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</row>
    <row r="110" spans="1:32" ht="15" customHeight="1" x14ac:dyDescent="0.25">
      <c r="A110" s="56" t="s">
        <v>271</v>
      </c>
      <c r="B110" s="56">
        <v>26</v>
      </c>
      <c r="C110" s="56" t="s">
        <v>121</v>
      </c>
      <c r="D110" s="56" t="s">
        <v>79</v>
      </c>
      <c r="E110" s="57">
        <v>1</v>
      </c>
      <c r="F110" t="s">
        <v>268</v>
      </c>
      <c r="G110"/>
      <c r="H110"/>
      <c r="I110"/>
      <c r="J110" s="76" t="s">
        <v>272</v>
      </c>
      <c r="K110" s="57" t="s">
        <v>8</v>
      </c>
      <c r="L110" s="58" t="s">
        <v>280</v>
      </c>
      <c r="M110" s="48">
        <v>45317</v>
      </c>
      <c r="N110">
        <v>1</v>
      </c>
      <c r="O110"/>
      <c r="P110">
        <v>56</v>
      </c>
      <c r="Q110"/>
      <c r="R110"/>
      <c r="S110"/>
      <c r="T110" t="s">
        <v>289</v>
      </c>
      <c r="U110">
        <v>-1</v>
      </c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</row>
    <row r="111" spans="1:32" ht="15" customHeight="1" x14ac:dyDescent="0.25">
      <c r="A111" s="56" t="s">
        <v>271</v>
      </c>
      <c r="B111" s="56">
        <v>26</v>
      </c>
      <c r="C111" s="56" t="s">
        <v>121</v>
      </c>
      <c r="D111" s="56" t="s">
        <v>79</v>
      </c>
      <c r="E111" s="57">
        <v>1</v>
      </c>
      <c r="F111" t="s">
        <v>269</v>
      </c>
      <c r="G111"/>
      <c r="H111"/>
      <c r="I111"/>
      <c r="J111" s="76" t="s">
        <v>272</v>
      </c>
      <c r="K111" s="57" t="s">
        <v>8</v>
      </c>
      <c r="L111" s="58" t="s">
        <v>280</v>
      </c>
      <c r="M111" s="48">
        <v>45317</v>
      </c>
      <c r="N111">
        <v>1</v>
      </c>
      <c r="O111"/>
      <c r="P111">
        <v>93</v>
      </c>
      <c r="Q111"/>
      <c r="R111"/>
      <c r="S111"/>
      <c r="T111" t="s">
        <v>289</v>
      </c>
      <c r="U111">
        <v>-1</v>
      </c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</row>
    <row r="112" spans="1:32" ht="15" customHeight="1" x14ac:dyDescent="0.2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</row>
    <row r="113" spans="1:21" ht="15" customHeight="1" x14ac:dyDescent="0.2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</row>
    <row r="114" spans="1:21" ht="15" customHeight="1" x14ac:dyDescent="0.2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</row>
    <row r="115" spans="1:21" ht="15" customHeight="1" x14ac:dyDescent="0.2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</row>
    <row r="116" spans="1:21" ht="15" customHeight="1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</row>
    <row r="117" spans="1:21" ht="15" customHeight="1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</row>
    <row r="118" spans="1:21" ht="15" customHeight="1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</row>
    <row r="119" spans="1:21" ht="15" customHeight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</row>
    <row r="120" spans="1:21" ht="15" customHeight="1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</row>
    <row r="121" spans="1:21" ht="15" customHeight="1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</row>
    <row r="122" spans="1:21" ht="15" customHeight="1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</row>
    <row r="123" spans="1:21" ht="15" customHeight="1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</row>
    <row r="124" spans="1:21" ht="15" customHeight="1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</row>
    <row r="125" spans="1:21" ht="15" customHeight="1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</row>
    <row r="126" spans="1:21" ht="15" customHeight="1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</row>
    <row r="127" spans="1:21" ht="15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</row>
    <row r="128" spans="1:21" ht="15" customHeight="1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</row>
    <row r="129" spans="1:21" ht="15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</row>
    <row r="130" spans="1:21" ht="15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</row>
    <row r="131" spans="1:21" ht="15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</row>
    <row r="132" spans="1:21" ht="15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</row>
    <row r="133" spans="1:21" ht="15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</row>
    <row r="134" spans="1:21" ht="15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</row>
    <row r="135" spans="1:21" ht="15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</row>
    <row r="136" spans="1:21" ht="15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</row>
    <row r="137" spans="1:21" ht="15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</row>
    <row r="138" spans="1:21" ht="15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</row>
    <row r="139" spans="1:21" ht="15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</row>
    <row r="140" spans="1:21" ht="15" customHeight="1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</row>
    <row r="141" spans="1:21" ht="15" customHeight="1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</row>
    <row r="142" spans="1:21" ht="15" customHeight="1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</row>
    <row r="143" spans="1:21" ht="15" customHeight="1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</row>
    <row r="144" spans="1:21" ht="15" customHeight="1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</row>
    <row r="145" spans="1:21" ht="15" customHeight="1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</row>
    <row r="146" spans="1:21" ht="15" customHeight="1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</row>
    <row r="147" spans="1:21" ht="15" customHeight="1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</row>
    <row r="148" spans="1:21" ht="15" customHeight="1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</row>
    <row r="149" spans="1:21" ht="15" customHeight="1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</row>
    <row r="150" spans="1:21" ht="15" customHeight="1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</row>
    <row r="151" spans="1:21" ht="15" customHeight="1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</row>
    <row r="152" spans="1:21" ht="15" customHeight="1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</row>
    <row r="153" spans="1:21" ht="15" customHeight="1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</row>
    <row r="154" spans="1:21" ht="15" customHeight="1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</row>
    <row r="155" spans="1:21" ht="15" customHeight="1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</row>
    <row r="156" spans="1:21" ht="15" customHeight="1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</row>
    <row r="157" spans="1:21" ht="15" customHeight="1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</row>
    <row r="158" spans="1:21" ht="15" customHeight="1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</row>
    <row r="159" spans="1:21" ht="15" customHeight="1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</row>
    <row r="160" spans="1:21" ht="15" customHeight="1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</row>
    <row r="161" spans="1:21" ht="15" customHeight="1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</row>
    <row r="162" spans="1:21" ht="15" customHeight="1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</row>
    <row r="163" spans="1:21" ht="15" customHeight="1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</row>
    <row r="164" spans="1:21" ht="15" customHeight="1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</row>
    <row r="165" spans="1:21" ht="15" customHeight="1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</row>
    <row r="166" spans="1:21" ht="15" customHeight="1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</row>
    <row r="167" spans="1:21" ht="15" customHeight="1" x14ac:dyDescent="0.2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</row>
    <row r="168" spans="1:21" ht="15" customHeight="1" x14ac:dyDescent="0.2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</row>
    <row r="169" spans="1:21" ht="15" customHeight="1" x14ac:dyDescent="0.2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</row>
    <row r="170" spans="1:21" ht="15" customHeight="1" x14ac:dyDescent="0.2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</row>
    <row r="171" spans="1:21" ht="15" customHeight="1" x14ac:dyDescent="0.2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</row>
    <row r="172" spans="1:21" ht="15" customHeight="1" x14ac:dyDescent="0.2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</row>
    <row r="173" spans="1:21" ht="15" customHeight="1" x14ac:dyDescent="0.2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</row>
    <row r="174" spans="1:21" ht="15" customHeight="1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</row>
    <row r="175" spans="1:21" ht="15" customHeight="1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</row>
    <row r="176" spans="1:21" ht="15" customHeight="1" x14ac:dyDescent="0.2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</row>
    <row r="177" spans="1:21" ht="15" customHeight="1" x14ac:dyDescent="0.2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</row>
    <row r="178" spans="1:21" ht="15" customHeight="1" x14ac:dyDescent="0.2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</row>
    <row r="179" spans="1:21" ht="15" customHeight="1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</row>
    <row r="180" spans="1:21" ht="15" customHeight="1" x14ac:dyDescent="0.2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</row>
    <row r="181" spans="1:21" ht="15" customHeight="1" x14ac:dyDescent="0.2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</row>
    <row r="182" spans="1:21" ht="15" customHeight="1" x14ac:dyDescent="0.2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</row>
    <row r="183" spans="1:21" ht="15" customHeight="1" x14ac:dyDescent="0.2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</row>
    <row r="184" spans="1:21" ht="15" customHeight="1" x14ac:dyDescent="0.2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</row>
    <row r="185" spans="1:21" ht="15" customHeight="1" x14ac:dyDescent="0.2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</row>
    <row r="186" spans="1:21" ht="15" customHeight="1" x14ac:dyDescent="0.2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</row>
    <row r="187" spans="1:21" ht="15" customHeight="1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</row>
    <row r="188" spans="1:21" ht="15" customHeight="1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</row>
    <row r="189" spans="1:21" ht="15" customHeight="1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</row>
    <row r="190" spans="1:21" ht="15" customHeight="1" x14ac:dyDescent="0.2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</row>
    <row r="191" spans="1:21" ht="15" customHeight="1" x14ac:dyDescent="0.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</row>
    <row r="192" spans="1:21" ht="15" customHeight="1" x14ac:dyDescent="0.2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</row>
    <row r="193" spans="1:21" ht="15" customHeight="1" x14ac:dyDescent="0.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</row>
    <row r="194" spans="1:21" ht="15" customHeight="1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</row>
    <row r="195" spans="1:21" ht="15" customHeight="1" x14ac:dyDescent="0.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</row>
    <row r="196" spans="1:21" ht="15" customHeight="1" x14ac:dyDescent="0.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</row>
    <row r="197" spans="1:21" ht="15" customHeight="1" x14ac:dyDescent="0.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</row>
    <row r="198" spans="1:21" ht="15" customHeight="1" x14ac:dyDescent="0.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</row>
    <row r="199" spans="1:21" ht="15" customHeight="1" x14ac:dyDescent="0.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</row>
    <row r="200" spans="1:21" ht="15" customHeight="1" x14ac:dyDescent="0.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</row>
    <row r="201" spans="1:21" ht="15" customHeight="1" x14ac:dyDescent="0.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</row>
    <row r="202" spans="1:21" ht="15" customHeight="1" x14ac:dyDescent="0.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</row>
    <row r="203" spans="1:21" ht="15" customHeight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</row>
    <row r="204" spans="1:21" ht="15" customHeight="1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</row>
    <row r="205" spans="1:21" ht="15" customHeight="1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</row>
    <row r="206" spans="1:21" ht="15" customHeight="1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</row>
    <row r="207" spans="1:21" ht="15" customHeight="1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</row>
    <row r="208" spans="1:21" ht="15" customHeight="1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</row>
    <row r="209" spans="1:21" ht="15" customHeight="1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</row>
    <row r="210" spans="1:21" ht="15" customHeight="1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</row>
    <row r="211" spans="1:21" ht="15" customHeight="1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</row>
    <row r="212" spans="1:21" ht="15" customHeight="1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</row>
    <row r="213" spans="1:21" ht="15" customHeight="1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</row>
    <row r="214" spans="1:21" ht="15" customHeight="1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</row>
    <row r="215" spans="1:21" ht="15" customHeight="1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</row>
    <row r="216" spans="1:21" ht="15" customHeight="1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</row>
    <row r="217" spans="1:21" ht="15" customHeight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</row>
    <row r="218" spans="1:21" ht="15" customHeight="1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</row>
    <row r="219" spans="1:21" ht="15" customHeight="1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</row>
    <row r="220" spans="1:21" ht="15" customHeight="1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</row>
    <row r="221" spans="1:21" ht="15" customHeight="1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</row>
    <row r="222" spans="1:21" ht="15" customHeight="1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</row>
    <row r="223" spans="1:21" ht="15" customHeight="1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</row>
    <row r="224" spans="1:21" ht="15" customHeight="1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</row>
    <row r="225" spans="1:21" ht="15" customHeight="1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</row>
    <row r="226" spans="1:21" ht="15" customHeight="1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</row>
    <row r="227" spans="1:21" ht="15" customHeight="1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</row>
    <row r="228" spans="1:21" ht="15" customHeight="1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</row>
    <row r="229" spans="1:21" ht="15" customHeight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</row>
    <row r="230" spans="1:21" ht="15" customHeight="1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</row>
    <row r="231" spans="1:21" ht="15" customHeight="1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</row>
    <row r="232" spans="1:21" ht="15" customHeight="1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</row>
    <row r="233" spans="1:21" ht="15" customHeight="1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</row>
    <row r="234" spans="1:21" ht="15" customHeight="1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</row>
    <row r="235" spans="1:21" ht="15" customHeight="1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</row>
    <row r="236" spans="1:21" ht="15" customHeight="1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</row>
    <row r="237" spans="1:21" ht="15" customHeight="1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</row>
    <row r="238" spans="1:21" ht="15" customHeight="1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</row>
    <row r="239" spans="1:21" ht="15" customHeight="1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</row>
    <row r="240" spans="1:21" ht="15" customHeight="1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</row>
    <row r="241" spans="1:21" ht="15" customHeight="1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</row>
    <row r="242" spans="1:21" ht="15" customHeight="1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</row>
    <row r="243" spans="1:21" ht="15" customHeight="1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</row>
    <row r="244" spans="1:21" ht="15" customHeight="1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</row>
    <row r="245" spans="1:21" ht="15" customHeight="1" x14ac:dyDescent="0.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</row>
    <row r="246" spans="1:21" ht="15" customHeight="1" x14ac:dyDescent="0.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</row>
    <row r="247" spans="1:21" ht="15" customHeight="1" x14ac:dyDescent="0.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</row>
    <row r="248" spans="1:21" ht="15" customHeight="1" x14ac:dyDescent="0.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</row>
    <row r="249" spans="1:21" ht="15" customHeight="1" x14ac:dyDescent="0.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</row>
    <row r="250" spans="1:21" ht="15" customHeight="1" x14ac:dyDescent="0.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</row>
    <row r="251" spans="1:21" ht="15" customHeight="1" x14ac:dyDescent="0.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</row>
    <row r="252" spans="1:21" ht="15" customHeight="1" x14ac:dyDescent="0.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</row>
    <row r="253" spans="1:21" ht="15" customHeight="1" x14ac:dyDescent="0.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</row>
    <row r="254" spans="1:21" ht="15" customHeight="1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</row>
    <row r="255" spans="1:21" ht="15" customHeight="1" x14ac:dyDescent="0.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</row>
    <row r="256" spans="1:21" ht="15" customHeight="1" x14ac:dyDescent="0.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</row>
    <row r="257" spans="1:21" ht="15" customHeight="1" x14ac:dyDescent="0.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</row>
    <row r="258" spans="1:21" ht="15" customHeight="1" x14ac:dyDescent="0.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</row>
    <row r="259" spans="1:21" ht="15" customHeight="1" x14ac:dyDescent="0.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</row>
    <row r="260" spans="1:21" ht="15" customHeight="1" x14ac:dyDescent="0.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</row>
    <row r="261" spans="1:21" ht="15" customHeight="1" x14ac:dyDescent="0.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</row>
    <row r="262" spans="1:21" ht="15" customHeight="1" x14ac:dyDescent="0.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</row>
    <row r="263" spans="1:21" ht="15" customHeight="1" x14ac:dyDescent="0.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</row>
    <row r="264" spans="1:21" ht="15" customHeight="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</row>
    <row r="265" spans="1:21" ht="15" customHeight="1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</row>
    <row r="266" spans="1:21" ht="15" customHeight="1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</row>
    <row r="267" spans="1:21" ht="15" customHeight="1" x14ac:dyDescent="0.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</row>
    <row r="268" spans="1:21" ht="15" customHeight="1" x14ac:dyDescent="0.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</row>
    <row r="269" spans="1:21" ht="15" customHeight="1" x14ac:dyDescent="0.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</row>
    <row r="270" spans="1:21" ht="15" customHeight="1" x14ac:dyDescent="0.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</row>
    <row r="271" spans="1:21" ht="15" customHeight="1" x14ac:dyDescent="0.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</row>
    <row r="272" spans="1:21" ht="15" customHeight="1" x14ac:dyDescent="0.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</row>
    <row r="273" spans="1:21" ht="15" customHeight="1" x14ac:dyDescent="0.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</row>
    <row r="274" spans="1:21" ht="15" customHeight="1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</row>
    <row r="275" spans="1:21" ht="15" customHeight="1" x14ac:dyDescent="0.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</row>
    <row r="276" spans="1:21" ht="15" customHeight="1" x14ac:dyDescent="0.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</row>
    <row r="277" spans="1:21" ht="15" customHeight="1" x14ac:dyDescent="0.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</row>
    <row r="278" spans="1:21" ht="15" customHeight="1" x14ac:dyDescent="0.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</row>
    <row r="279" spans="1:21" ht="15" customHeight="1" x14ac:dyDescent="0.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</row>
    <row r="280" spans="1:21" ht="15" customHeight="1" x14ac:dyDescent="0.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</row>
    <row r="281" spans="1:21" ht="15" customHeight="1" x14ac:dyDescent="0.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</row>
    <row r="282" spans="1:21" ht="15" customHeight="1" x14ac:dyDescent="0.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</row>
    <row r="283" spans="1:21" ht="15" customHeight="1" x14ac:dyDescent="0.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</row>
    <row r="284" spans="1:21" ht="15" customHeight="1" x14ac:dyDescent="0.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</row>
    <row r="285" spans="1:21" ht="15" customHeight="1" x14ac:dyDescent="0.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</row>
    <row r="286" spans="1:21" ht="15" customHeight="1" x14ac:dyDescent="0.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</row>
    <row r="287" spans="1:21" ht="15" customHeight="1" x14ac:dyDescent="0.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</row>
    <row r="288" spans="1:21" ht="15" customHeight="1" x14ac:dyDescent="0.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</row>
    <row r="289" spans="1:21" ht="15" customHeight="1" x14ac:dyDescent="0.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</row>
    <row r="290" spans="1:21" ht="15" customHeight="1" x14ac:dyDescent="0.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</row>
    <row r="291" spans="1:21" ht="15" customHeight="1" x14ac:dyDescent="0.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</row>
    <row r="292" spans="1:21" ht="15" customHeight="1" x14ac:dyDescent="0.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</row>
    <row r="293" spans="1:21" ht="15" customHeight="1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</row>
    <row r="294" spans="1:21" ht="15" customHeight="1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</row>
    <row r="295" spans="1:21" ht="15" customHeight="1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</row>
    <row r="296" spans="1:21" ht="15" customHeight="1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</row>
    <row r="297" spans="1:21" ht="15" customHeight="1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</row>
    <row r="298" spans="1:21" ht="15" customHeight="1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</row>
    <row r="299" spans="1:21" ht="15" customHeight="1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</row>
    <row r="300" spans="1:21" ht="15" customHeight="1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</row>
    <row r="301" spans="1:21" ht="15" customHeight="1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</row>
    <row r="302" spans="1:21" ht="15" customHeight="1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</row>
    <row r="303" spans="1:21" ht="15" customHeight="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</row>
    <row r="304" spans="1:21" ht="15" customHeight="1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</row>
    <row r="305" spans="1:21" ht="15" customHeight="1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</row>
    <row r="306" spans="1:21" ht="15" customHeight="1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</row>
    <row r="307" spans="1:21" ht="15" customHeight="1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</row>
    <row r="308" spans="1:21" ht="15" customHeight="1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</row>
    <row r="309" spans="1:21" ht="15" customHeight="1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</row>
    <row r="310" spans="1:21" ht="15" customHeight="1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</row>
    <row r="311" spans="1:21" ht="15" customHeight="1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</row>
    <row r="312" spans="1:21" ht="15" customHeight="1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</row>
    <row r="313" spans="1:21" ht="15" customHeight="1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</row>
    <row r="314" spans="1:21" ht="15" customHeight="1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</row>
    <row r="315" spans="1:21" ht="15" customHeight="1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</row>
    <row r="316" spans="1:21" ht="15" customHeight="1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</row>
    <row r="317" spans="1:21" ht="15" customHeight="1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</row>
    <row r="318" spans="1:21" ht="15" customHeight="1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</row>
    <row r="319" spans="1:21" ht="15" customHeight="1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</row>
    <row r="320" spans="1:21" ht="15" customHeight="1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</row>
    <row r="321" spans="1:21" ht="15" customHeight="1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</row>
    <row r="322" spans="1:21" ht="15" customHeight="1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</row>
    <row r="323" spans="1:21" ht="15" customHeight="1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</row>
    <row r="324" spans="1:21" ht="15" customHeight="1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</row>
    <row r="325" spans="1:21" ht="15" customHeight="1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</row>
    <row r="326" spans="1:21" ht="15" customHeight="1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</row>
    <row r="327" spans="1:21" ht="15" customHeight="1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</row>
    <row r="328" spans="1:21" ht="15" customHeight="1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</row>
    <row r="329" spans="1:21" ht="15" customHeight="1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</row>
    <row r="330" spans="1:21" ht="15" customHeight="1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</row>
    <row r="331" spans="1:21" ht="15" customHeight="1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</row>
    <row r="332" spans="1:21" ht="15" customHeight="1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</row>
    <row r="333" spans="1:21" ht="15" customHeight="1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</row>
    <row r="334" spans="1:21" ht="15" customHeight="1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</row>
    <row r="335" spans="1:21" ht="15" customHeight="1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</row>
    <row r="336" spans="1:21" ht="15" customHeight="1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</row>
    <row r="337" spans="1:21" ht="15" customHeight="1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</row>
    <row r="338" spans="1:21" ht="15" customHeight="1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</row>
    <row r="339" spans="1:21" ht="15" customHeight="1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</row>
    <row r="340" spans="1:21" ht="15" customHeight="1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</row>
    <row r="341" spans="1:21" ht="15" customHeight="1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</row>
    <row r="342" spans="1:21" ht="15" customHeight="1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</row>
    <row r="343" spans="1:21" ht="15" customHeight="1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</row>
    <row r="344" spans="1:21" ht="15" customHeight="1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</row>
    <row r="345" spans="1:21" ht="15" customHeight="1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</row>
    <row r="346" spans="1:21" ht="15" customHeight="1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</row>
    <row r="347" spans="1:21" ht="15" customHeight="1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</row>
    <row r="348" spans="1:21" ht="15" customHeight="1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</row>
    <row r="349" spans="1:21" ht="15" customHeight="1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</row>
    <row r="350" spans="1:21" ht="15" customHeight="1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</row>
    <row r="351" spans="1:21" ht="15" customHeight="1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</row>
    <row r="352" spans="1:21" ht="15" customHeight="1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</row>
    <row r="353" spans="1:21" ht="15" customHeight="1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</row>
    <row r="354" spans="1:21" ht="15" customHeight="1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</row>
    <row r="355" spans="1:21" ht="15" customHeight="1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</row>
    <row r="356" spans="1:21" ht="15" customHeight="1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</row>
    <row r="357" spans="1:21" ht="15" customHeight="1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</row>
    <row r="358" spans="1:21" ht="15" customHeight="1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</row>
    <row r="359" spans="1:21" ht="15" customHeight="1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</row>
    <row r="360" spans="1:21" ht="15" customHeight="1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</row>
    <row r="361" spans="1:21" ht="15" customHeight="1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</row>
    <row r="362" spans="1:21" ht="15" customHeight="1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</row>
    <row r="363" spans="1:21" ht="15" customHeight="1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</row>
    <row r="364" spans="1:21" ht="15" customHeight="1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</row>
    <row r="365" spans="1:21" ht="15" customHeight="1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</row>
    <row r="366" spans="1:21" ht="15" customHeight="1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</row>
    <row r="367" spans="1:21" ht="15" customHeight="1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</row>
    <row r="368" spans="1:21" ht="15" customHeight="1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</row>
    <row r="369" spans="1:21" ht="15" customHeight="1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</row>
    <row r="370" spans="1:21" ht="15" customHeight="1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</row>
    <row r="371" spans="1:21" ht="15" customHeight="1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</row>
    <row r="372" spans="1:21" ht="15" customHeight="1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</row>
    <row r="373" spans="1:21" ht="15" customHeight="1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</row>
    <row r="374" spans="1:21" ht="15" customHeight="1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</row>
    <row r="375" spans="1:21" ht="15" customHeight="1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</row>
    <row r="376" spans="1:21" ht="15" customHeight="1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</row>
    <row r="377" spans="1:21" ht="15" customHeight="1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</row>
    <row r="378" spans="1:21" ht="15" customHeight="1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</row>
    <row r="379" spans="1:21" ht="15" customHeight="1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</row>
    <row r="380" spans="1:21" ht="15" customHeight="1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</row>
    <row r="381" spans="1:21" ht="15" customHeight="1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</row>
    <row r="382" spans="1:21" ht="15" customHeight="1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</row>
    <row r="383" spans="1:21" ht="15" customHeight="1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</row>
    <row r="384" spans="1:21" ht="15" customHeight="1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</row>
    <row r="385" spans="1:21" ht="15" customHeight="1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</row>
    <row r="386" spans="1:21" ht="15" customHeight="1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</row>
    <row r="387" spans="1:21" ht="15" customHeight="1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</row>
    <row r="388" spans="1:21" ht="15" customHeight="1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</row>
    <row r="389" spans="1:21" ht="15" customHeight="1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</row>
    <row r="390" spans="1:21" ht="15" customHeight="1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</row>
    <row r="391" spans="1:21" ht="15" customHeight="1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</row>
    <row r="392" spans="1:21" ht="15" customHeight="1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</row>
    <row r="393" spans="1:21" ht="15" customHeight="1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</row>
    <row r="394" spans="1:21" ht="15" customHeight="1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</row>
    <row r="395" spans="1:21" ht="15" customHeight="1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</row>
    <row r="396" spans="1:21" ht="15" customHeight="1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</row>
    <row r="397" spans="1:21" ht="15" customHeight="1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</row>
    <row r="398" spans="1:21" ht="15" customHeight="1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</row>
    <row r="399" spans="1:21" ht="15" customHeight="1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</row>
    <row r="400" spans="1:21" ht="15" customHeight="1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</row>
    <row r="401" spans="1:21" ht="15" customHeight="1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</row>
    <row r="402" spans="1:21" ht="15" customHeight="1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</row>
    <row r="403" spans="1:21" ht="15" customHeight="1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</row>
    <row r="404" spans="1:21" ht="15" customHeight="1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</row>
    <row r="405" spans="1:21" ht="15" customHeight="1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</row>
    <row r="406" spans="1:21" ht="15" customHeight="1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</row>
    <row r="407" spans="1:21" ht="15" customHeight="1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</row>
    <row r="408" spans="1:21" ht="15" customHeight="1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</row>
    <row r="409" spans="1:21" ht="15" customHeight="1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</row>
    <row r="410" spans="1:21" ht="15" customHeight="1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</row>
    <row r="411" spans="1:21" ht="15" customHeight="1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</row>
    <row r="412" spans="1:21" ht="15" customHeight="1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</row>
    <row r="413" spans="1:21" ht="15" customHeight="1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</row>
    <row r="414" spans="1:21" ht="15" customHeight="1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</row>
    <row r="415" spans="1:21" ht="15" customHeight="1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</row>
    <row r="416" spans="1:21" ht="15" customHeight="1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</row>
    <row r="417" spans="1:21" ht="15" customHeight="1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</row>
    <row r="418" spans="1:21" ht="15" customHeight="1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</row>
    <row r="419" spans="1:21" ht="15" customHeight="1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</row>
    <row r="420" spans="1:21" ht="15" customHeight="1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</row>
    <row r="421" spans="1:21" ht="15" customHeight="1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</row>
    <row r="422" spans="1:21" ht="15" customHeight="1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</row>
    <row r="423" spans="1:21" ht="15" customHeight="1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</row>
    <row r="424" spans="1:21" ht="15" customHeight="1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</row>
    <row r="425" spans="1:21" ht="15" customHeight="1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</row>
    <row r="426" spans="1:21" ht="15" customHeight="1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</row>
    <row r="427" spans="1:21" ht="15" customHeight="1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</row>
    <row r="428" spans="1:21" ht="15" customHeight="1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</row>
    <row r="429" spans="1:21" ht="15" customHeight="1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</row>
    <row r="430" spans="1:21" ht="15" customHeight="1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</row>
    <row r="431" spans="1:21" ht="15" customHeight="1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</row>
    <row r="432" spans="1:21" ht="15" customHeight="1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</row>
    <row r="433" spans="1:21" ht="15" customHeight="1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</row>
    <row r="434" spans="1:21" ht="15" customHeight="1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</row>
    <row r="435" spans="1:21" ht="15" customHeight="1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</row>
    <row r="436" spans="1:21" ht="15" customHeight="1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</row>
    <row r="437" spans="1:21" ht="15" customHeight="1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</row>
    <row r="438" spans="1:21" ht="15" customHeight="1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</row>
    <row r="439" spans="1:21" ht="15" customHeight="1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</row>
    <row r="440" spans="1:21" ht="15" customHeight="1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</row>
    <row r="441" spans="1:21" ht="15" customHeight="1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</row>
    <row r="442" spans="1:21" ht="15" customHeight="1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</row>
    <row r="443" spans="1:21" ht="15" customHeight="1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</row>
    <row r="444" spans="1:21" ht="15" customHeight="1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</row>
    <row r="445" spans="1:21" ht="15" customHeight="1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</row>
    <row r="446" spans="1:21" ht="15" customHeight="1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</row>
    <row r="447" spans="1:21" ht="15" customHeight="1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</row>
    <row r="448" spans="1:21" ht="15" customHeight="1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</row>
    <row r="449" spans="1:21" ht="15" customHeight="1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</row>
    <row r="450" spans="1:21" ht="15" customHeight="1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</row>
    <row r="451" spans="1:21" ht="15" customHeight="1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</row>
    <row r="452" spans="1:21" ht="15" customHeight="1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</row>
    <row r="453" spans="1:21" ht="15" customHeight="1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</row>
    <row r="454" spans="1:21" ht="15" customHeight="1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</row>
    <row r="455" spans="1:21" ht="15" customHeight="1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</row>
    <row r="456" spans="1:21" ht="15" customHeight="1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</row>
    <row r="457" spans="1:21" ht="15" customHeight="1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</row>
    <row r="458" spans="1:21" ht="15" customHeight="1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</row>
    <row r="459" spans="1:21" ht="15" customHeight="1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</row>
    <row r="460" spans="1:21" ht="15" customHeight="1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</row>
    <row r="461" spans="1:21" ht="15" customHeight="1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</row>
    <row r="462" spans="1:21" ht="15" customHeight="1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</row>
    <row r="463" spans="1:21" ht="15" customHeight="1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</row>
    <row r="464" spans="1:21" ht="15" customHeight="1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</row>
    <row r="465" spans="1:21" ht="15" customHeight="1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</row>
    <row r="466" spans="1:21" ht="15" customHeight="1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</row>
    <row r="467" spans="1:21" ht="15" customHeight="1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</row>
    <row r="468" spans="1:21" ht="15" customHeight="1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</row>
    <row r="469" spans="1:21" ht="15" customHeight="1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</row>
    <row r="470" spans="1:21" ht="15" customHeight="1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</row>
    <row r="471" spans="1:21" ht="15" customHeight="1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</row>
    <row r="472" spans="1:21" ht="15" customHeight="1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</row>
    <row r="473" spans="1:21" ht="15" customHeight="1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</row>
    <row r="474" spans="1:21" ht="15" customHeight="1" x14ac:dyDescent="0.2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</row>
    <row r="475" spans="1:21" ht="15" customHeight="1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</row>
    <row r="476" spans="1:21" ht="15" customHeight="1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</row>
    <row r="477" spans="1:21" ht="15" customHeight="1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</row>
    <row r="478" spans="1:21" ht="15" customHeight="1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</row>
    <row r="479" spans="1:21" ht="15" customHeight="1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</row>
    <row r="480" spans="1:21" ht="15" customHeight="1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</row>
    <row r="481" spans="1:21" ht="15" customHeight="1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</row>
    <row r="482" spans="1:21" ht="15" customHeight="1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</row>
    <row r="483" spans="1:21" ht="15" customHeight="1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</row>
    <row r="484" spans="1:21" ht="15" customHeight="1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</row>
    <row r="485" spans="1:21" ht="15" customHeight="1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</row>
    <row r="486" spans="1:21" ht="15" customHeight="1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</row>
    <row r="487" spans="1:21" ht="15" customHeight="1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</row>
    <row r="488" spans="1:21" ht="15" customHeight="1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</row>
    <row r="489" spans="1:21" ht="15" customHeight="1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</row>
    <row r="490" spans="1:21" ht="15" customHeight="1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</row>
    <row r="491" spans="1:21" ht="15" customHeight="1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</row>
    <row r="492" spans="1:21" ht="15" customHeight="1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</row>
    <row r="493" spans="1:21" ht="15" customHeight="1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</row>
    <row r="494" spans="1:21" ht="15" customHeight="1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</row>
    <row r="495" spans="1:21" ht="15" customHeight="1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</row>
    <row r="496" spans="1:21" ht="15" customHeight="1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</row>
    <row r="497" spans="1:21" ht="15" customHeight="1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</row>
    <row r="498" spans="1:21" ht="15" customHeight="1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</row>
    <row r="499" spans="1:21" ht="15" customHeight="1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</row>
    <row r="500" spans="1:21" ht="15" customHeight="1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</row>
    <row r="501" spans="1:21" ht="15" customHeight="1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</row>
    <row r="502" spans="1:21" ht="15" customHeight="1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</row>
    <row r="503" spans="1:21" ht="15" customHeight="1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</row>
    <row r="504" spans="1:21" ht="15" customHeight="1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</row>
    <row r="505" spans="1:21" ht="15" customHeight="1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</row>
    <row r="506" spans="1:21" ht="15" customHeight="1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</row>
    <row r="507" spans="1:21" ht="15" customHeight="1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</row>
    <row r="508" spans="1:21" ht="15" customHeight="1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</row>
    <row r="509" spans="1:21" ht="15" customHeight="1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</row>
    <row r="510" spans="1:21" ht="15" customHeight="1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</row>
    <row r="511" spans="1:21" ht="15" customHeight="1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</row>
    <row r="512" spans="1:21" ht="15" customHeight="1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</row>
    <row r="513" spans="1:21" ht="15" customHeight="1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</row>
    <row r="514" spans="1:21" ht="15" customHeight="1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</row>
    <row r="515" spans="1:21" ht="15" customHeight="1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</row>
    <row r="516" spans="1:21" ht="15" customHeight="1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</row>
    <row r="517" spans="1:21" ht="15" customHeight="1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</row>
    <row r="518" spans="1:21" ht="15" customHeight="1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</row>
    <row r="519" spans="1:21" ht="15" customHeight="1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</row>
    <row r="520" spans="1:21" ht="15" customHeight="1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</row>
    <row r="521" spans="1:21" ht="15" customHeight="1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</row>
    <row r="522" spans="1:21" ht="15" customHeight="1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</row>
    <row r="523" spans="1:21" ht="15" customHeight="1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</row>
    <row r="524" spans="1:21" ht="15" customHeight="1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</row>
    <row r="525" spans="1:21" ht="15" customHeight="1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</row>
    <row r="526" spans="1:21" ht="15" customHeight="1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</row>
    <row r="527" spans="1:21" ht="15" customHeight="1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</row>
    <row r="528" spans="1:21" ht="15" customHeight="1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</row>
    <row r="529" spans="1:21" ht="15" customHeight="1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</row>
    <row r="530" spans="1:21" ht="15" customHeight="1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</row>
    <row r="531" spans="1:21" ht="15" customHeight="1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</row>
    <row r="532" spans="1:21" ht="15" customHeight="1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</row>
    <row r="533" spans="1:21" ht="15" customHeight="1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</row>
    <row r="534" spans="1:21" ht="15" customHeight="1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</row>
    <row r="535" spans="1:21" ht="15" customHeight="1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</row>
    <row r="536" spans="1:21" ht="15" customHeight="1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</row>
    <row r="537" spans="1:21" ht="15" customHeight="1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</row>
    <row r="538" spans="1:21" ht="15" customHeight="1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</row>
    <row r="539" spans="1:21" ht="15" customHeight="1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</row>
    <row r="540" spans="1:21" ht="15" customHeight="1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</row>
    <row r="541" spans="1:21" ht="15" customHeight="1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</row>
    <row r="542" spans="1:21" ht="15" customHeight="1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</row>
    <row r="543" spans="1:21" ht="15" customHeight="1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</row>
    <row r="544" spans="1:21" ht="15" customHeight="1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</row>
    <row r="545" spans="1:21" ht="15" customHeight="1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</row>
    <row r="546" spans="1:21" ht="15" customHeight="1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</row>
    <row r="547" spans="1:21" ht="15" customHeight="1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</row>
    <row r="548" spans="1:21" ht="15" customHeight="1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</row>
    <row r="549" spans="1:21" ht="15" customHeight="1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</row>
    <row r="550" spans="1:21" ht="15" customHeight="1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</row>
    <row r="551" spans="1:21" ht="15" customHeight="1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</row>
    <row r="552" spans="1:21" ht="15" customHeight="1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</row>
    <row r="553" spans="1:21" ht="15" customHeight="1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</row>
    <row r="554" spans="1:21" ht="15" customHeight="1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</row>
    <row r="555" spans="1:21" ht="15" customHeight="1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</row>
    <row r="556" spans="1:21" ht="15" customHeight="1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</row>
    <row r="557" spans="1:21" ht="15" customHeight="1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</row>
    <row r="558" spans="1:21" ht="15" customHeight="1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</row>
    <row r="559" spans="1:21" ht="15" customHeight="1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</row>
    <row r="560" spans="1:21" ht="15" customHeight="1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</row>
    <row r="561" spans="1:12" ht="15" customHeight="1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</row>
    <row r="562" spans="1:12" ht="15" customHeight="1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</row>
    <row r="563" spans="1:12" ht="15" customHeight="1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</row>
    <row r="564" spans="1:12" ht="15" customHeight="1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</row>
    <row r="565" spans="1:12" ht="15" customHeight="1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</row>
    <row r="566" spans="1:12" ht="15" customHeight="1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</row>
    <row r="567" spans="1:12" ht="15" customHeight="1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</row>
    <row r="568" spans="1:12" ht="15" customHeight="1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</row>
    <row r="569" spans="1:12" ht="15" customHeight="1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</row>
    <row r="570" spans="1:12" ht="15" customHeight="1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</row>
    <row r="571" spans="1:12" ht="15" customHeight="1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</row>
    <row r="572" spans="1:12" ht="15" customHeight="1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</row>
    <row r="573" spans="1:12" ht="15" customHeight="1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</row>
    <row r="574" spans="1:12" ht="15" customHeight="1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</row>
    <row r="575" spans="1:12" ht="15" customHeight="1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</row>
    <row r="576" spans="1:12" ht="15" customHeight="1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</row>
    <row r="577" spans="1:12" ht="15" customHeight="1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</row>
    <row r="578" spans="1:12" ht="15" customHeight="1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</row>
    <row r="579" spans="1:12" ht="15" customHeight="1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</row>
    <row r="580" spans="1:12" ht="15" customHeight="1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</row>
    <row r="581" spans="1:12" ht="15" customHeight="1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</row>
    <row r="582" spans="1:12" ht="15" customHeight="1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</row>
    <row r="583" spans="1:12" ht="15" customHeight="1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</row>
    <row r="584" spans="1:12" ht="15" customHeight="1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</row>
    <row r="585" spans="1:12" ht="15" customHeight="1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</row>
    <row r="586" spans="1:12" ht="15" customHeight="1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</row>
    <row r="587" spans="1:12" ht="15" customHeight="1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</row>
    <row r="588" spans="1:12" ht="15" customHeight="1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</row>
    <row r="589" spans="1:12" ht="15" customHeight="1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</row>
    <row r="590" spans="1:12" ht="15" customHeight="1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</row>
    <row r="591" spans="1:12" ht="15" customHeight="1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</row>
    <row r="592" spans="1:12" ht="15" customHeight="1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</row>
    <row r="593" spans="1:12" ht="15" customHeight="1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</row>
    <row r="594" spans="1:12" ht="15" customHeight="1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</row>
    <row r="595" spans="1:12" ht="15" customHeight="1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</row>
    <row r="596" spans="1:12" ht="15" customHeight="1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</row>
    <row r="597" spans="1:12" ht="15" customHeight="1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</row>
    <row r="598" spans="1:12" ht="15" customHeight="1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</row>
    <row r="599" spans="1:12" ht="15" customHeight="1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</row>
    <row r="600" spans="1:12" ht="15" customHeight="1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</row>
    <row r="601" spans="1:12" ht="15" customHeight="1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</row>
    <row r="602" spans="1:12" ht="15" customHeight="1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</row>
    <row r="603" spans="1:12" ht="15" customHeight="1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</row>
    <row r="604" spans="1:12" ht="15" customHeight="1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</row>
    <row r="605" spans="1:12" ht="15" customHeight="1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</row>
    <row r="606" spans="1:12" ht="15" customHeight="1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</row>
    <row r="607" spans="1:12" ht="15" customHeight="1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</row>
    <row r="608" spans="1:12" ht="15" customHeight="1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</row>
    <row r="609" spans="1:12" ht="15" customHeight="1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</row>
    <row r="610" spans="1:12" ht="15" customHeight="1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</row>
    <row r="611" spans="1:12" ht="15" customHeight="1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</row>
    <row r="612" spans="1:12" ht="15" customHeight="1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</row>
    <row r="613" spans="1:12" ht="15" customHeight="1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</row>
    <row r="614" spans="1:12" ht="15" customHeight="1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</row>
    <row r="615" spans="1:12" ht="15" customHeight="1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</row>
    <row r="616" spans="1:12" ht="15" customHeight="1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</row>
    <row r="617" spans="1:12" ht="15" customHeight="1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</row>
    <row r="618" spans="1:12" ht="15" customHeight="1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</row>
    <row r="619" spans="1:12" ht="15" customHeight="1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</row>
    <row r="620" spans="1:12" ht="15" customHeight="1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</row>
    <row r="621" spans="1:12" ht="15" customHeight="1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</row>
    <row r="622" spans="1:12" ht="15" customHeight="1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</row>
    <row r="623" spans="1:12" ht="15" customHeight="1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</row>
    <row r="624" spans="1:12" ht="15" customHeight="1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</row>
    <row r="625" spans="1:12" ht="15" customHeight="1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</row>
    <row r="626" spans="1:12" ht="15" customHeight="1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</row>
    <row r="627" spans="1:12" ht="15" customHeight="1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</row>
    <row r="628" spans="1:12" ht="15" customHeight="1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</row>
    <row r="629" spans="1:12" ht="15" customHeight="1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</row>
    <row r="630" spans="1:12" ht="15" customHeight="1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</row>
    <row r="631" spans="1:12" ht="15" customHeight="1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</row>
    <row r="632" spans="1:12" ht="15" customHeight="1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</row>
    <row r="633" spans="1:12" ht="15" customHeight="1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</row>
    <row r="634" spans="1:12" ht="15" customHeight="1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</row>
    <row r="635" spans="1:12" ht="15" customHeight="1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</row>
    <row r="636" spans="1:12" ht="15" customHeight="1" x14ac:dyDescent="0.2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</row>
    <row r="637" spans="1:12" ht="15" customHeight="1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</row>
    <row r="638" spans="1:12" ht="15" customHeight="1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</row>
    <row r="639" spans="1:12" ht="15" customHeight="1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</row>
    <row r="640" spans="1:12" ht="15" customHeight="1" x14ac:dyDescent="0.2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</row>
    <row r="641" spans="1:12" ht="15" customHeight="1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</row>
    <row r="642" spans="1:12" ht="15" customHeight="1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</row>
    <row r="643" spans="1:12" ht="15" customHeight="1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</row>
    <row r="644" spans="1:12" ht="15" customHeight="1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</row>
    <row r="645" spans="1:12" ht="15" customHeight="1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</row>
    <row r="646" spans="1:12" ht="15" customHeight="1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</row>
    <row r="647" spans="1:12" ht="15" customHeight="1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</row>
    <row r="648" spans="1:12" ht="15" customHeight="1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</row>
    <row r="649" spans="1:12" ht="15" customHeight="1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</row>
    <row r="650" spans="1:12" ht="15" customHeight="1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</row>
    <row r="651" spans="1:12" ht="15" customHeight="1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</row>
    <row r="652" spans="1:12" ht="15" customHeight="1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</row>
    <row r="653" spans="1:12" ht="15" customHeight="1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</row>
    <row r="654" spans="1:12" ht="15" customHeight="1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</row>
    <row r="655" spans="1:12" ht="15" customHeight="1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</row>
    <row r="656" spans="1:12" ht="15" customHeight="1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</row>
    <row r="657" spans="1:12" ht="15" customHeight="1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</row>
    <row r="658" spans="1:12" ht="15" customHeight="1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</row>
    <row r="659" spans="1:12" ht="15" customHeight="1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</row>
    <row r="660" spans="1:12" ht="15" customHeight="1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</row>
    <row r="661" spans="1:12" ht="15" customHeight="1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</row>
    <row r="662" spans="1:12" ht="15" customHeight="1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</row>
    <row r="663" spans="1:12" ht="15" customHeight="1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</row>
    <row r="664" spans="1:12" ht="15" customHeight="1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</row>
    <row r="665" spans="1:12" ht="15" customHeight="1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</row>
    <row r="666" spans="1:12" ht="15" customHeight="1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</row>
    <row r="667" spans="1:12" ht="15" customHeight="1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</row>
    <row r="668" spans="1:12" ht="15" customHeight="1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</row>
    <row r="669" spans="1:12" ht="15" customHeight="1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</row>
    <row r="670" spans="1:12" ht="15" customHeight="1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</row>
    <row r="671" spans="1:12" ht="15" customHeight="1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</row>
    <row r="672" spans="1:12" ht="15" customHeight="1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</row>
    <row r="673" spans="1:12" ht="15" customHeight="1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</row>
    <row r="674" spans="1:12" ht="15" customHeight="1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</row>
    <row r="675" spans="1:12" ht="15" customHeight="1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</row>
    <row r="676" spans="1:12" ht="15" customHeight="1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</row>
    <row r="677" spans="1:12" ht="15" customHeight="1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</row>
    <row r="678" spans="1:12" ht="15" customHeight="1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</row>
    <row r="679" spans="1:12" ht="15" customHeight="1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</row>
    <row r="680" spans="1:12" ht="15" customHeight="1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</row>
    <row r="681" spans="1:12" ht="15" customHeight="1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</row>
    <row r="682" spans="1:12" ht="15" customHeight="1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</row>
    <row r="683" spans="1:12" ht="15" customHeight="1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</row>
    <row r="684" spans="1:12" ht="15" customHeight="1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</row>
    <row r="685" spans="1:12" ht="15" customHeight="1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</row>
    <row r="686" spans="1:12" ht="15" customHeight="1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</row>
    <row r="687" spans="1:12" ht="15" customHeight="1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</row>
    <row r="688" spans="1:12" ht="15" customHeight="1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</row>
    <row r="689" spans="1:12" ht="15" customHeight="1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</row>
    <row r="690" spans="1:12" ht="15" customHeight="1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</row>
    <row r="691" spans="1:12" ht="15" customHeight="1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</row>
    <row r="692" spans="1:12" ht="15" customHeight="1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</row>
    <row r="693" spans="1:12" ht="15" customHeight="1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</row>
    <row r="694" spans="1:12" ht="15" customHeight="1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</row>
    <row r="695" spans="1:12" ht="15" customHeight="1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</row>
    <row r="696" spans="1:12" ht="15" customHeight="1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</row>
    <row r="697" spans="1:12" ht="15" customHeight="1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</row>
    <row r="698" spans="1:12" ht="15" customHeight="1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</row>
    <row r="699" spans="1:12" ht="15" customHeight="1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</row>
    <row r="700" spans="1:12" ht="15" customHeight="1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</row>
    <row r="701" spans="1:12" ht="15" customHeight="1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</row>
    <row r="702" spans="1:12" ht="15" customHeight="1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</row>
    <row r="703" spans="1:12" ht="15" customHeight="1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</row>
    <row r="704" spans="1:12" ht="15" customHeight="1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</row>
    <row r="705" spans="1:12" ht="15" customHeight="1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</row>
    <row r="706" spans="1:12" ht="15" customHeight="1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</row>
    <row r="707" spans="1:12" ht="15" customHeight="1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</row>
    <row r="708" spans="1:12" ht="15" customHeight="1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</row>
    <row r="709" spans="1:12" ht="15" customHeight="1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</row>
    <row r="710" spans="1:12" ht="15" customHeight="1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</row>
    <row r="711" spans="1:12" ht="15" customHeight="1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</row>
    <row r="712" spans="1:12" ht="15" customHeight="1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</row>
    <row r="713" spans="1:12" ht="15" customHeight="1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</row>
    <row r="714" spans="1:12" ht="15" customHeight="1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</row>
    <row r="715" spans="1:12" ht="15" customHeight="1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</row>
    <row r="716" spans="1:12" ht="15" customHeight="1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</row>
    <row r="717" spans="1:12" ht="15" customHeight="1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</row>
    <row r="718" spans="1:12" ht="15" customHeight="1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</row>
    <row r="719" spans="1:12" ht="15" customHeight="1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</row>
    <row r="720" spans="1:12" ht="15" customHeight="1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</row>
    <row r="721" spans="1:12" ht="15" customHeight="1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</row>
    <row r="722" spans="1:12" ht="15" customHeight="1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</row>
    <row r="723" spans="1:12" ht="15" customHeight="1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</row>
    <row r="724" spans="1:12" ht="15" customHeight="1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</row>
    <row r="725" spans="1:12" ht="15" customHeight="1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</row>
    <row r="726" spans="1:12" ht="15" customHeight="1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</row>
    <row r="727" spans="1:12" ht="15" customHeight="1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</row>
    <row r="728" spans="1:12" ht="15" customHeight="1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</row>
    <row r="729" spans="1:12" ht="15" customHeight="1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</row>
    <row r="730" spans="1:12" ht="15" customHeight="1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</row>
    <row r="731" spans="1:12" ht="15" customHeight="1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</row>
    <row r="732" spans="1:12" ht="15" customHeight="1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</row>
    <row r="733" spans="1:12" ht="15" customHeight="1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</row>
    <row r="734" spans="1:12" ht="15" customHeight="1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</row>
    <row r="735" spans="1:12" ht="15" customHeight="1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</row>
    <row r="736" spans="1:12" ht="15" customHeight="1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</row>
    <row r="737" spans="1:12" ht="15" customHeight="1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</row>
    <row r="738" spans="1:12" ht="15" customHeight="1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</row>
    <row r="739" spans="1:12" ht="15" customHeight="1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</row>
    <row r="740" spans="1:12" ht="15" customHeight="1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</row>
    <row r="741" spans="1:12" ht="15" customHeight="1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</row>
    <row r="742" spans="1:12" ht="15" customHeight="1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</row>
    <row r="743" spans="1:12" ht="15" customHeight="1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</row>
    <row r="744" spans="1:12" ht="15" customHeight="1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</row>
    <row r="745" spans="1:12" ht="15" customHeight="1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</row>
    <row r="746" spans="1:12" ht="15" customHeight="1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</row>
    <row r="747" spans="1:12" ht="15" customHeight="1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</row>
    <row r="748" spans="1:12" ht="15" customHeight="1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</row>
    <row r="749" spans="1:12" ht="15" customHeight="1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</row>
    <row r="750" spans="1:12" ht="15" customHeight="1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</row>
    <row r="751" spans="1:12" ht="15" customHeight="1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</row>
    <row r="752" spans="1:12" ht="15" customHeight="1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</row>
    <row r="753" spans="1:12" ht="15" customHeight="1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</row>
    <row r="754" spans="1:12" ht="15" customHeight="1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</row>
    <row r="755" spans="1:12" ht="15" customHeight="1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</row>
    <row r="756" spans="1:12" ht="15" customHeight="1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</row>
    <row r="757" spans="1:12" ht="15" customHeight="1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</row>
    <row r="758" spans="1:12" ht="15" customHeight="1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</row>
    <row r="759" spans="1:12" ht="15" customHeight="1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</row>
    <row r="760" spans="1:12" ht="15" customHeight="1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</row>
    <row r="761" spans="1:12" ht="15" customHeight="1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</row>
    <row r="762" spans="1:12" ht="15" customHeight="1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</row>
    <row r="763" spans="1:12" ht="15" customHeight="1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</row>
    <row r="764" spans="1:12" ht="15" customHeight="1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</row>
    <row r="765" spans="1:12" ht="15" customHeight="1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</row>
    <row r="766" spans="1:12" ht="15" customHeight="1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</row>
    <row r="767" spans="1:12" ht="15" customHeight="1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</row>
    <row r="768" spans="1:12" ht="15" customHeight="1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</row>
    <row r="769" spans="1:12" ht="15" customHeight="1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</row>
    <row r="770" spans="1:12" ht="15" customHeight="1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</row>
    <row r="771" spans="1:12" ht="15" customHeight="1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</row>
    <row r="772" spans="1:12" ht="15" customHeight="1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</row>
    <row r="773" spans="1:12" ht="15" customHeight="1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</row>
    <row r="774" spans="1:12" ht="15" customHeight="1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</row>
    <row r="775" spans="1:12" ht="15" customHeight="1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</row>
    <row r="776" spans="1:12" ht="15" customHeight="1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</row>
    <row r="777" spans="1:12" ht="15" customHeight="1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</row>
    <row r="778" spans="1:12" ht="15" customHeight="1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</row>
    <row r="779" spans="1:12" ht="15" customHeight="1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</row>
    <row r="780" spans="1:12" ht="15" customHeight="1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</row>
    <row r="781" spans="1:12" ht="15" customHeight="1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</row>
    <row r="782" spans="1:12" ht="15" customHeight="1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</row>
    <row r="783" spans="1:12" ht="15" customHeight="1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</row>
    <row r="784" spans="1:12" ht="15" customHeight="1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</row>
    <row r="785" spans="1:12" ht="15" customHeight="1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</row>
    <row r="786" spans="1:12" ht="15" customHeight="1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</row>
    <row r="787" spans="1:12" ht="15" customHeight="1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</row>
    <row r="788" spans="1:12" ht="15" customHeight="1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</row>
    <row r="789" spans="1:12" ht="15" customHeight="1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</row>
    <row r="790" spans="1:12" ht="15" customHeight="1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</row>
    <row r="791" spans="1:12" ht="15" customHeight="1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</row>
    <row r="792" spans="1:12" ht="15" customHeight="1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</row>
    <row r="793" spans="1:12" ht="15" customHeight="1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</row>
    <row r="794" spans="1:12" ht="15" customHeight="1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</row>
    <row r="795" spans="1:12" ht="15" customHeight="1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</row>
    <row r="796" spans="1:12" ht="15" customHeight="1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</row>
    <row r="797" spans="1:12" ht="15" customHeight="1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</row>
    <row r="798" spans="1:12" ht="15" customHeight="1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</row>
    <row r="799" spans="1:12" ht="15" customHeight="1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</row>
    <row r="800" spans="1:12" ht="15" customHeight="1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</row>
    <row r="801" spans="1:12" ht="15" customHeight="1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</row>
    <row r="802" spans="1:12" ht="15" customHeight="1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</row>
    <row r="803" spans="1:12" ht="15" customHeight="1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</row>
    <row r="804" spans="1:12" ht="15" customHeight="1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</row>
    <row r="805" spans="1:12" ht="15" customHeight="1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</row>
    <row r="806" spans="1:12" ht="15" customHeight="1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</row>
    <row r="807" spans="1:12" ht="15" customHeight="1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</row>
    <row r="808" spans="1:12" ht="15" customHeight="1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</row>
    <row r="809" spans="1:12" ht="15" customHeight="1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</row>
    <row r="810" spans="1:12" ht="15" customHeight="1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</row>
    <row r="811" spans="1:12" ht="15" customHeight="1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</row>
    <row r="812" spans="1:12" ht="15" customHeight="1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</row>
    <row r="813" spans="1:12" ht="15" customHeight="1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</row>
    <row r="814" spans="1:12" ht="15" customHeight="1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</row>
    <row r="815" spans="1:12" ht="15" customHeight="1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</row>
    <row r="816" spans="1:12" ht="15" customHeight="1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</row>
    <row r="817" spans="1:12" ht="15" customHeight="1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</row>
    <row r="818" spans="1:12" ht="15" customHeight="1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</row>
    <row r="819" spans="1:12" ht="15" customHeight="1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</row>
    <row r="820" spans="1:12" ht="15" customHeight="1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</row>
    <row r="821" spans="1:12" ht="15" customHeight="1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</row>
    <row r="822" spans="1:12" ht="15" customHeight="1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</row>
    <row r="823" spans="1:12" ht="15" customHeight="1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</row>
    <row r="824" spans="1:12" ht="15" customHeight="1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</row>
    <row r="825" spans="1:12" ht="15" customHeight="1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</row>
    <row r="826" spans="1:12" ht="15" customHeight="1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</row>
    <row r="827" spans="1:12" ht="15" customHeight="1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</row>
    <row r="828" spans="1:12" ht="15" customHeight="1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</row>
    <row r="829" spans="1:12" ht="15" customHeight="1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</row>
    <row r="830" spans="1:12" ht="15" customHeight="1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</row>
    <row r="831" spans="1:12" ht="15" customHeight="1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</row>
    <row r="832" spans="1:12" ht="15" customHeight="1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</row>
    <row r="833" spans="1:12" ht="15" customHeight="1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</row>
    <row r="834" spans="1:12" ht="15" customHeight="1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</row>
    <row r="835" spans="1:12" ht="15" customHeight="1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</row>
    <row r="836" spans="1:12" ht="15" customHeight="1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</row>
    <row r="837" spans="1:12" ht="15" customHeight="1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</row>
    <row r="838" spans="1:12" ht="15" customHeight="1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</row>
    <row r="839" spans="1:12" ht="15" customHeight="1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</row>
    <row r="840" spans="1:12" ht="15" customHeight="1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</row>
    <row r="841" spans="1:12" ht="15" customHeight="1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</row>
    <row r="842" spans="1:12" ht="15" customHeight="1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</row>
    <row r="843" spans="1:12" ht="15" customHeight="1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</row>
    <row r="844" spans="1:12" ht="15" customHeight="1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</row>
    <row r="845" spans="1:12" ht="15" customHeight="1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</row>
    <row r="846" spans="1:12" ht="15" customHeight="1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</row>
    <row r="847" spans="1:12" ht="15" customHeight="1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</row>
    <row r="848" spans="1:12" ht="15" customHeight="1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</row>
    <row r="849" spans="1:12" ht="15" customHeight="1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</row>
    <row r="850" spans="1:12" ht="15" customHeight="1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</row>
    <row r="851" spans="1:12" ht="15" customHeight="1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</row>
    <row r="852" spans="1:12" ht="15" customHeight="1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</row>
    <row r="853" spans="1:12" ht="15" customHeight="1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</row>
    <row r="854" spans="1:12" ht="15" customHeight="1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</row>
    <row r="855" spans="1:12" ht="15" customHeight="1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</row>
    <row r="856" spans="1:12" ht="15" customHeight="1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</row>
    <row r="857" spans="1:12" ht="15" customHeight="1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</row>
    <row r="858" spans="1:12" ht="15" customHeight="1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</row>
    <row r="859" spans="1:12" ht="15" customHeight="1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</row>
    <row r="860" spans="1:12" ht="15" customHeight="1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</row>
    <row r="861" spans="1:12" ht="15" customHeight="1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</row>
    <row r="862" spans="1:12" ht="15" customHeight="1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</row>
    <row r="863" spans="1:12" ht="15" customHeight="1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</row>
    <row r="864" spans="1:12" ht="15" customHeight="1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</row>
    <row r="865" spans="1:12" ht="15" customHeight="1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</row>
    <row r="866" spans="1:12" ht="15" customHeight="1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</row>
    <row r="867" spans="1:12" ht="15" customHeight="1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</row>
    <row r="868" spans="1:12" ht="15" customHeight="1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</row>
    <row r="869" spans="1:12" ht="15" customHeight="1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</row>
    <row r="870" spans="1:12" ht="15" customHeight="1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</row>
    <row r="871" spans="1:12" ht="15" customHeight="1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</row>
    <row r="872" spans="1:12" ht="15" customHeight="1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</row>
    <row r="873" spans="1:12" ht="15" customHeight="1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</row>
    <row r="874" spans="1:12" ht="15" customHeight="1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</row>
    <row r="875" spans="1:12" ht="15" customHeight="1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</row>
    <row r="876" spans="1:12" ht="15" customHeight="1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</row>
    <row r="877" spans="1:12" ht="15" customHeight="1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</row>
    <row r="878" spans="1:12" ht="15" customHeight="1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</row>
    <row r="879" spans="1:12" ht="15" customHeight="1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</row>
    <row r="880" spans="1:12" ht="15" customHeight="1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</row>
    <row r="881" spans="1:12" ht="15" customHeight="1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</row>
    <row r="882" spans="1:12" ht="15" customHeight="1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</row>
    <row r="883" spans="1:12" ht="15" customHeight="1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</row>
    <row r="884" spans="1:12" ht="15" customHeight="1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</row>
    <row r="885" spans="1:12" ht="15" customHeight="1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</row>
    <row r="886" spans="1:12" ht="15" customHeight="1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</row>
    <row r="887" spans="1:12" ht="15" customHeight="1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</row>
    <row r="888" spans="1:12" ht="15" customHeight="1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</row>
    <row r="889" spans="1:12" ht="15" customHeight="1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</row>
    <row r="890" spans="1:12" ht="15" customHeight="1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</row>
    <row r="891" spans="1:12" ht="15" customHeight="1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</row>
    <row r="892" spans="1:12" ht="15" customHeight="1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</row>
    <row r="893" spans="1:12" ht="15" customHeight="1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</row>
    <row r="894" spans="1:12" ht="15" customHeight="1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</row>
    <row r="895" spans="1:12" ht="15" customHeight="1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</row>
    <row r="896" spans="1:12" ht="15" customHeight="1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</row>
    <row r="897" spans="1:12" ht="15" customHeight="1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</row>
    <row r="898" spans="1:12" ht="15" customHeight="1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</row>
    <row r="899" spans="1:12" ht="15" customHeight="1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</row>
    <row r="900" spans="1:12" ht="15" customHeight="1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</row>
    <row r="901" spans="1:12" ht="15" customHeight="1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</row>
    <row r="902" spans="1:12" ht="15" customHeight="1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</row>
    <row r="903" spans="1:12" ht="15" customHeight="1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</row>
    <row r="904" spans="1:12" ht="15" customHeight="1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</row>
    <row r="905" spans="1:12" ht="15" customHeight="1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</row>
    <row r="906" spans="1:12" ht="15" customHeight="1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</row>
    <row r="907" spans="1:12" ht="15" customHeight="1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</row>
    <row r="908" spans="1:12" ht="15" customHeight="1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</row>
    <row r="909" spans="1:12" ht="15" customHeight="1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</row>
    <row r="910" spans="1:12" ht="15" customHeight="1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</row>
    <row r="911" spans="1:12" ht="15" customHeight="1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</row>
    <row r="912" spans="1:12" ht="15" customHeight="1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</row>
    <row r="913" spans="1:12" ht="15" customHeight="1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</row>
  </sheetData>
  <mergeCells count="5">
    <mergeCell ref="J9:K10"/>
    <mergeCell ref="D10:D12"/>
    <mergeCell ref="E10:E12"/>
    <mergeCell ref="D15:D17"/>
    <mergeCell ref="E15:E17"/>
  </mergeCells>
  <phoneticPr fontId="21" type="noConversion"/>
  <conditionalFormatting sqref="U25:U111">
    <cfRule type="cellIs" dxfId="13" priority="1" stopIfTrue="1" operator="equal">
      <formula>-1</formula>
    </cfRule>
    <cfRule type="cellIs" dxfId="12" priority="2" stopIfTrue="1" operator="equal">
      <formula>1</formula>
    </cfRule>
    <cfRule type="cellIs" dxfId="11" priority="3" stopIfTrue="1" operator="equal">
      <formula>-2</formula>
    </cfRule>
  </conditionalFormatting>
  <printOptions horizontalCentered="1"/>
  <pageMargins left="0.39370078740157483" right="0.39370078740157483" top="0.78740157480314965" bottom="0.78740157480314965" header="0" footer="0"/>
  <pageSetup paperSize="9" scale="73" orientation="portrait" r:id="rId1"/>
  <headerFooter>
    <oddHeader>&amp;CCUADRANTE DE CLASES</oddHeader>
  </headerFooter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Info</vt:lpstr>
      <vt:lpstr>Aux</vt:lpstr>
      <vt:lpstr>JULIO 24</vt:lpstr>
      <vt:lpstr>JUNIO 24</vt:lpstr>
      <vt:lpstr>MAYO 24</vt:lpstr>
      <vt:lpstr>ABRIL 24</vt:lpstr>
      <vt:lpstr>MARZO 24</vt:lpstr>
      <vt:lpstr>FEBRERO 24</vt:lpstr>
      <vt:lpstr>ENERO 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2024-10-20T21:59:45Z</dcterms:modified>
</cp:coreProperties>
</file>